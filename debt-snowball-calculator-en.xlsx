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y Debts" sheetId="1" state="visible" r:id="rId1"/>
    <sheet xmlns:r="http://schemas.openxmlformats.org/officeDocument/2006/relationships" name="Snowball Plan" sheetId="2" state="visible" r:id="rId2"/>
    <sheet xmlns:r="http://schemas.openxmlformats.org/officeDocument/2006/relationships" name="Payment Schedule" sheetId="3" state="visible" r:id="rId3"/>
    <sheet xmlns:r="http://schemas.openxmlformats.org/officeDocument/2006/relationships" name="How to Use" sheetId="4" state="visible" r:id="rId4"/>
  </sheets>
  <definedNames/>
  <calcPr calcId="124519" fullCalcOnLoad="1"/>
</workbook>
</file>

<file path=xl/styles.xml><?xml version="1.0" encoding="utf-8"?>
<styleSheet xmlns="http://schemas.openxmlformats.org/spreadsheetml/2006/main">
  <numFmts count="1">
    <numFmt numFmtId="164" formatCode="&quot;$&quot;#,##0.00"/>
  </numFmts>
  <fonts count="11">
    <font>
      <name val="Calibri"/>
      <color theme="1"/>
      <sz val="11"/>
      <scheme val="minor"/>
    </font>
    <font>
      <name val="Calibri"/>
      <b val="1"/>
      <color rgb="FFFFFFFF"/>
      <sz val="14"/>
    </font>
    <font>
      <name val="Calibri"/>
      <b val="1"/>
      <color rgb="FF333333"/>
      <sz val="11"/>
    </font>
    <font/>
    <font>
      <name val="Calibri"/>
      <color rgb="FF333333"/>
      <sz val="11"/>
    </font>
    <font>
      <name val="Calibri"/>
      <color rgb="FF666666"/>
      <sz val="10"/>
    </font>
    <font>
      <name val="Calibri"/>
      <b val="1"/>
      <color rgb="FFFFFFFF"/>
      <sz val="11"/>
    </font>
    <font>
      <name val="Calibri"/>
      <b val="1"/>
      <color rgb="FF3F4A1F"/>
      <sz val="13"/>
    </font>
    <font>
      <name val="Calibri"/>
      <b val="1"/>
      <color rgb="FFFFFFFF"/>
      <sz val="10"/>
    </font>
    <font>
      <name val="Calibri"/>
      <color theme="1"/>
      <sz val="11"/>
    </font>
    <font>
      <name val="Calibri"/>
      <color theme="1"/>
      <scheme val="minor"/>
    </font>
  </fonts>
  <fills count="7">
    <fill>
      <patternFill/>
    </fill>
    <fill>
      <patternFill patternType="lightGray"/>
    </fill>
    <fill>
      <patternFill patternType="solid">
        <fgColor rgb="FF3F4A1F"/>
        <bgColor rgb="FF3F4A1F"/>
      </patternFill>
    </fill>
    <fill>
      <patternFill patternType="solid">
        <fgColor rgb="FFF5F7EC"/>
        <bgColor rgb="FFF5F7EC"/>
      </patternFill>
    </fill>
    <fill>
      <patternFill patternType="solid">
        <fgColor rgb="FF556B2F"/>
        <bgColor rgb="FF556B2F"/>
      </patternFill>
    </fill>
    <fill>
      <patternFill patternType="solid">
        <fgColor rgb="FFFFFFFF"/>
        <bgColor rgb="FFFFFFFF"/>
      </patternFill>
    </fill>
    <fill>
      <patternFill patternType="solid">
        <fgColor rgb="FFFFFDE7"/>
        <bgColor rgb="FFFFFDE7"/>
      </patternFill>
    </fill>
  </fills>
  <borders count="7">
    <border/>
    <border>
      <left/>
      <right/>
      <top/>
      <bottom/>
    </border>
    <border>
      <left/>
      <top/>
      <bottom/>
    </border>
    <border>
      <top/>
      <bottom/>
    </border>
    <border>
      <right/>
      <top/>
      <bottom/>
    </border>
    <border>
      <left style="thin">
        <color rgb="FFD5D9C5"/>
      </left>
      <right style="thin">
        <color rgb="FFD5D9C5"/>
      </right>
      <top style="thin">
        <color rgb="FFD5D9C5"/>
      </top>
      <bottom style="thin">
        <color rgb="FFD5D9C5"/>
      </bottom>
    </border>
    <border>
      <left style="thin">
        <color rgb="FF8B9A5B"/>
      </left>
      <right style="thin">
        <color rgb="FF8B9A5B"/>
      </right>
      <top style="thin">
        <color rgb="FF8B9A5B"/>
      </top>
      <bottom style="thin">
        <color rgb="FF8B9A5B"/>
      </bottom>
    </border>
  </borders>
  <cellStyleXfs count="1">
    <xf numFmtId="0" fontId="0" fillId="0" borderId="0"/>
  </cellStyleXfs>
  <cellXfs count="46">
    <xf numFmtId="0" fontId="0" fillId="0" borderId="0" applyAlignment="1" pivotButton="0" quotePrefix="0" xfId="0">
      <alignment vertical="bottom"/>
    </xf>
    <xf numFmtId="0" fontId="1" fillId="2" borderId="1" applyAlignment="1" pivotButton="0" quotePrefix="0" xfId="0">
      <alignment horizontal="left" vertical="center" wrapText="1"/>
    </xf>
    <xf numFmtId="0" fontId="1" fillId="2" borderId="2" applyAlignment="1" pivotButton="0" quotePrefix="0" xfId="0">
      <alignment horizontal="left" vertical="center" wrapText="1"/>
    </xf>
    <xf numFmtId="0" fontId="2" fillId="3" borderId="1" pivotButton="0" quotePrefix="0" xfId="0"/>
    <xf numFmtId="0" fontId="3" fillId="0" borderId="3" pivotButton="0" quotePrefix="0" xfId="0"/>
    <xf numFmtId="0" fontId="4" fillId="0" borderId="0" applyAlignment="1" pivotButton="0" quotePrefix="0" xfId="0">
      <alignment vertical="center" wrapText="1"/>
    </xf>
    <xf numFmtId="0" fontId="3" fillId="0" borderId="4" pivotButton="0" quotePrefix="0" xfId="0"/>
    <xf numFmtId="0" fontId="5" fillId="0" borderId="0" applyAlignment="1" pivotButton="0" quotePrefix="0" xfId="0">
      <alignment horizontal="left" vertical="center" wrapText="1"/>
    </xf>
    <xf numFmtId="0" fontId="2" fillId="0" borderId="0" pivotButton="0" quotePrefix="0" xfId="0"/>
    <xf numFmtId="0" fontId="6" fillId="4" borderId="2" applyAlignment="1" pivotButton="0" quotePrefix="0" xfId="0">
      <alignment horizontal="center" vertical="center" wrapText="1"/>
    </xf>
    <xf numFmtId="0" fontId="5" fillId="0" borderId="0" pivotButton="0" quotePrefix="0" xfId="0"/>
    <xf numFmtId="0" fontId="2" fillId="3" borderId="5" applyAlignment="1" pivotButton="0" quotePrefix="0" xfId="0">
      <alignment horizontal="left" vertical="center" wrapText="1"/>
    </xf>
    <xf numFmtId="164" fontId="7" fillId="0" borderId="0" pivotButton="0" quotePrefix="0" xfId="0"/>
    <xf numFmtId="164" fontId="7" fillId="5" borderId="5" applyAlignment="1" pivotButton="0" quotePrefix="0" xfId="0">
      <alignment horizontal="right" vertical="center"/>
    </xf>
    <xf numFmtId="0" fontId="8" fillId="4" borderId="5" applyAlignment="1" pivotButton="0" quotePrefix="0" xfId="0">
      <alignment horizontal="center" vertical="center" wrapText="1"/>
    </xf>
    <xf numFmtId="164" fontId="2" fillId="6" borderId="6" applyAlignment="1" pivotButton="0" quotePrefix="0" xfId="0">
      <alignment horizontal="right" vertical="center"/>
    </xf>
    <xf numFmtId="10" fontId="9" fillId="0" borderId="0" pivotButton="0" quotePrefix="0" xfId="0"/>
    <xf numFmtId="0" fontId="4" fillId="3" borderId="5" applyAlignment="1" pivotButton="0" quotePrefix="0" xfId="0">
      <alignment horizontal="center" vertical="center" wrapText="1"/>
    </xf>
    <xf numFmtId="10" fontId="7" fillId="5" borderId="5" applyAlignment="1" pivotButton="0" quotePrefix="0" xfId="0">
      <alignment horizontal="right" vertical="center"/>
    </xf>
    <xf numFmtId="0" fontId="4" fillId="3" borderId="5" applyAlignment="1" pivotButton="0" quotePrefix="0" xfId="0">
      <alignment horizontal="left" vertical="center" wrapText="1"/>
    </xf>
    <xf numFmtId="1" fontId="7" fillId="5" borderId="5" applyAlignment="1" pivotButton="0" quotePrefix="0" xfId="0">
      <alignment horizontal="right" vertical="center"/>
    </xf>
    <xf numFmtId="164" fontId="4" fillId="3" borderId="5" applyAlignment="1" pivotButton="0" quotePrefix="0" xfId="0">
      <alignment horizontal="right" vertical="center"/>
    </xf>
    <xf numFmtId="0" fontId="7" fillId="5" borderId="5" applyAlignment="1" pivotButton="0" quotePrefix="0" xfId="0">
      <alignment horizontal="right" vertical="center"/>
    </xf>
    <xf numFmtId="10" fontId="4" fillId="3" borderId="5" applyAlignment="1" pivotButton="0" quotePrefix="0" xfId="0">
      <alignment horizontal="right" vertical="center"/>
    </xf>
    <xf numFmtId="0" fontId="4" fillId="5" borderId="5" applyAlignment="1" pivotButton="0" quotePrefix="0" xfId="0">
      <alignment horizontal="center" vertical="center" wrapText="1"/>
    </xf>
    <xf numFmtId="0" fontId="2" fillId="6" borderId="6" applyAlignment="1" pivotButton="0" quotePrefix="0" xfId="0">
      <alignment horizontal="left" vertical="center" wrapText="1"/>
    </xf>
    <xf numFmtId="0" fontId="4" fillId="5" borderId="5" applyAlignment="1" pivotButton="0" quotePrefix="0" xfId="0">
      <alignment horizontal="left" vertical="center" wrapText="1"/>
    </xf>
    <xf numFmtId="164" fontId="4" fillId="5" borderId="5" applyAlignment="1" pivotButton="0" quotePrefix="0" xfId="0">
      <alignment horizontal="right" vertical="center"/>
    </xf>
    <xf numFmtId="10" fontId="2" fillId="6" borderId="6" applyAlignment="1" pivotButton="0" quotePrefix="0" xfId="0">
      <alignment horizontal="right" vertical="center"/>
    </xf>
    <xf numFmtId="10" fontId="4" fillId="5" borderId="5" applyAlignment="1" pivotButton="0" quotePrefix="0" xfId="0">
      <alignment horizontal="right" vertical="center"/>
    </xf>
    <xf numFmtId="0" fontId="2" fillId="3" borderId="5" applyAlignment="1" pivotButton="0" quotePrefix="0" xfId="0">
      <alignment horizontal="center" vertical="center" wrapText="1"/>
    </xf>
    <xf numFmtId="0" fontId="9" fillId="3" borderId="5" applyAlignment="1" pivotButton="0" quotePrefix="0" xfId="0">
      <alignment horizontal="center" vertical="center" wrapText="1"/>
    </xf>
    <xf numFmtId="0" fontId="2" fillId="5" borderId="5" applyAlignment="1" pivotButton="0" quotePrefix="0" xfId="0">
      <alignment horizontal="center" vertical="center" wrapText="1"/>
    </xf>
    <xf numFmtId="0" fontId="9" fillId="5" borderId="5" applyAlignment="1" pivotButton="0" quotePrefix="0" xfId="0">
      <alignment horizontal="center" vertical="center" wrapText="1"/>
    </xf>
    <xf numFmtId="0" fontId="9" fillId="6" borderId="6" pivotButton="0" quotePrefix="0" xfId="0"/>
    <xf numFmtId="0" fontId="9" fillId="6" borderId="6" applyAlignment="1" pivotButton="0" quotePrefix="0" xfId="0">
      <alignment horizontal="center" vertical="center" wrapText="1"/>
    </xf>
    <xf numFmtId="164" fontId="9" fillId="6" borderId="6" applyAlignment="1" pivotButton="0" quotePrefix="0" xfId="0">
      <alignment horizontal="right" vertical="center"/>
    </xf>
    <xf numFmtId="164" fontId="9" fillId="0" borderId="0" pivotButton="0" quotePrefix="0" xfId="0"/>
    <xf numFmtId="10" fontId="9" fillId="6" borderId="6" applyAlignment="1" pivotButton="0" quotePrefix="0" xfId="0">
      <alignment horizontal="right" vertical="center"/>
    </xf>
    <xf numFmtId="1" fontId="2" fillId="6" borderId="6" applyAlignment="1" pivotButton="0" quotePrefix="0" xfId="0">
      <alignment horizontal="right" vertical="center"/>
    </xf>
    <xf numFmtId="0" fontId="2" fillId="0" borderId="0" applyAlignment="1" pivotButton="0" quotePrefix="0" xfId="0">
      <alignment horizontal="center" vertical="center" wrapText="1"/>
    </xf>
    <xf numFmtId="0" fontId="10" fillId="0" borderId="0" pivotButton="0" quotePrefix="0" xfId="0"/>
    <xf numFmtId="0" fontId="9" fillId="0" borderId="0" applyAlignment="1" pivotButton="0" quotePrefix="0" xfId="0">
      <alignment horizontal="center" vertical="center" wrapText="1"/>
    </xf>
    <xf numFmtId="1" fontId="9" fillId="0" borderId="0" applyAlignment="1" pivotButton="0" quotePrefix="0" xfId="0">
      <alignment horizontal="center" vertical="center" wrapText="1"/>
    </xf>
    <xf numFmtId="0" fontId="0" fillId="0" borderId="0" pivotButton="0" quotePrefix="0" xfId="0"/>
    <xf numFmtId="0" fontId="6" fillId="4"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556B2F"/>
    <outlinePr summaryBelow="1" summaryRight="1"/>
    <pageSetUpPr fitToPage="1"/>
  </sheetPr>
  <dimension ref="A1:H33"/>
  <sheetViews>
    <sheetView workbookViewId="0">
      <pane ySplit="15" topLeftCell="A16" activePane="bottomLeft" state="frozen"/>
      <selection pane="bottomLeft" activeCell="B17" sqref="B17"/>
    </sheetView>
  </sheetViews>
  <sheetFormatPr baseColWidth="8" defaultColWidth="14.43" defaultRowHeight="15" customHeight="1"/>
  <cols>
    <col width="5" customWidth="1" style="44" min="1" max="1"/>
    <col width="30" customWidth="1" style="44" min="2" max="2"/>
    <col width="20" customWidth="1" style="44" min="3" max="3"/>
    <col width="16" customWidth="1" style="44" min="4" max="4"/>
    <col width="18" customWidth="1" style="44" min="5" max="5"/>
    <col width="20" customWidth="1" style="44" min="6" max="6"/>
    <col width="17" customWidth="1" style="44" min="7" max="7"/>
    <col width="15" customWidth="1" style="44" min="8" max="8"/>
    <col width="8.710000000000001" customWidth="1" style="44" min="9" max="26"/>
  </cols>
  <sheetData>
    <row r="1" ht="31.5" customHeight="1" s="44">
      <c r="A1" s="1" t="inlineStr">
        <is>
          <t>Debt Consolidation Calculator &amp; Snowball Method</t>
        </is>
      </c>
    </row>
    <row r="2" ht="30" customHeight="1" s="44">
      <c r="A2" s="7" t="inlineStr">
        <is>
          <t>Fill in the cream-colored cells. White cells contain formulas: don't edit them. Enter the rate as a percentage (e.g. 24.99%).</t>
        </is>
      </c>
    </row>
    <row r="3"/>
    <row r="4" ht="24" customHeight="1" s="44">
      <c r="A4" s="45" t="inlineStr">
        <is>
          <t>SUMMARY</t>
        </is>
      </c>
    </row>
    <row r="5" ht="21.75" customHeight="1" s="44">
      <c r="A5" s="11" t="inlineStr">
        <is>
          <t>Total debt</t>
        </is>
      </c>
      <c r="B5" s="13">
        <f>SUM(D16:D25)</f>
        <v/>
      </c>
    </row>
    <row r="6" ht="21.75" customHeight="1" s="44">
      <c r="A6" s="11" t="inlineStr">
        <is>
          <t>Total minimum payment / month</t>
        </is>
      </c>
      <c r="B6" s="13">
        <f>SUM(F16:F25)</f>
        <v/>
      </c>
    </row>
    <row r="7" ht="21.75" customHeight="1" s="44">
      <c r="A7" s="11" t="inlineStr">
        <is>
          <t>Extra monthly payment</t>
        </is>
      </c>
      <c r="B7" s="15" t="n">
        <v>150</v>
      </c>
    </row>
    <row r="8" ht="21.75" customHeight="1" s="44">
      <c r="A8" s="11" t="inlineStr">
        <is>
          <t>Total monthly payment</t>
        </is>
      </c>
      <c r="B8" s="13">
        <f>B6+B7</f>
        <v/>
      </c>
    </row>
    <row r="9" ht="21.75" customHeight="1" s="44">
      <c r="A9" s="11" t="inlineStr">
        <is>
          <t>Weighted average rate</t>
        </is>
      </c>
      <c r="B9" s="18">
        <f>IFERROR(SUMPRODUCT(D16:D25,E16:E25)/B5,0)</f>
        <v/>
      </c>
    </row>
    <row r="10" ht="21.75" customHeight="1" s="44">
      <c r="A10" s="11" t="inlineStr">
        <is>
          <t>Estimated months</t>
        </is>
      </c>
      <c r="B10" s="20">
        <f>IF(COUNTIF(H16:H25,"60+")&gt;0,"60+",MAX(H16:H25))</f>
        <v/>
      </c>
    </row>
    <row r="11" ht="21.75" customHeight="1" s="44">
      <c r="A11" s="11" t="inlineStr">
        <is>
          <t>Estimated total interest</t>
        </is>
      </c>
      <c r="B11" s="13">
        <f>SUM('Payment Schedule'!W6:W65)</f>
        <v/>
      </c>
    </row>
    <row r="12" ht="21.75" customHeight="1" s="44">
      <c r="A12" s="11" t="inlineStr">
        <is>
          <t>Debt-free (estimated)</t>
        </is>
      </c>
      <c r="B12" s="22">
        <f>IF(B10=0,"—",IF(B10="60+","More than 5 years",TEXT(DATE(YEAR(TODAY()),MONTH(TODAY())+B10,1),"mmmm yyyy")))</f>
        <v/>
      </c>
    </row>
    <row r="13" ht="21.75" customHeight="1" s="44">
      <c r="A13" s="11" t="inlineStr">
        <is>
          <t>Number of debts</t>
        </is>
      </c>
      <c r="B13" s="20">
        <f>COUNTIF(D16:D25,"&gt;0")</f>
        <v/>
      </c>
    </row>
    <row r="14" ht="24" customHeight="1" s="44">
      <c r="A14" s="45" t="inlineStr">
        <is>
          <t>MY DEBTS</t>
        </is>
      </c>
    </row>
    <row r="15" ht="33.75" customHeight="1" s="44">
      <c r="A15" s="14" t="inlineStr">
        <is>
          <t>#</t>
        </is>
      </c>
      <c r="B15" s="14" t="inlineStr">
        <is>
          <t>Debt name</t>
        </is>
      </c>
      <c r="C15" s="14" t="inlineStr">
        <is>
          <t>Type</t>
        </is>
      </c>
      <c r="D15" s="14" t="inlineStr">
        <is>
          <t>Total balance ($)</t>
        </is>
      </c>
      <c r="E15" s="14" t="inlineStr">
        <is>
          <t>Annual interest rate %</t>
        </is>
      </c>
      <c r="F15" s="14" t="inlineStr">
        <is>
          <t>Monthly minimum payment ($)</t>
        </is>
      </c>
      <c r="G15" s="14" t="inlineStr">
        <is>
          <t>Snowball order</t>
        </is>
      </c>
      <c r="H15" s="14" t="inlineStr">
        <is>
          <t>Paid off (month)</t>
        </is>
      </c>
    </row>
    <row r="16" ht="21.75" customHeight="1" s="44">
      <c r="A16" s="17" t="n">
        <v>1</v>
      </c>
      <c r="B16" s="25" t="inlineStr">
        <is>
          <t>Credit card (example)</t>
        </is>
      </c>
      <c r="C16" s="25" t="inlineStr">
        <is>
          <t>Credit card</t>
        </is>
      </c>
      <c r="D16" s="15" t="n">
        <v>2500</v>
      </c>
      <c r="E16" s="28" t="n">
        <v>0.2499</v>
      </c>
      <c r="F16" s="15" t="n">
        <v>75</v>
      </c>
      <c r="G16" s="30">
        <f>IF(D16="","",RANK(D16,$D$16:$D$25,1)+COUNTIF($D$16:D16,D16)-1)</f>
        <v/>
      </c>
      <c r="H16" s="31">
        <f t="array" ref="H16">IF(G16="","",IFERROR(MATCH(0,INDEX('Payment Schedule'!$C$6:$L$65,0,G16),0),"60+"))</f>
        <v/>
      </c>
    </row>
    <row r="17" ht="21.75" customHeight="1" s="44">
      <c r="A17" s="24" t="n">
        <v>2</v>
      </c>
      <c r="B17" s="25" t="inlineStr">
        <is>
          <t>Personal loan (example)</t>
        </is>
      </c>
      <c r="C17" s="25" t="inlineStr">
        <is>
          <t>Personal loan</t>
        </is>
      </c>
      <c r="D17" s="15" t="n">
        <v>5200</v>
      </c>
      <c r="E17" s="28" t="n">
        <v>0.1299</v>
      </c>
      <c r="F17" s="15" t="n">
        <v>155</v>
      </c>
      <c r="G17" s="32">
        <f>IF(D17="","",RANK(D17,$D$16:$D$25,1)+COUNTIF($D$16:D17,D17)-1)</f>
        <v/>
      </c>
      <c r="H17" s="33">
        <f t="array" ref="H17">IF(G17="","",IFERROR(MATCH(0,INDEX('Payment Schedule'!$C$6:$L$65,0,G17),0),"60+"))</f>
        <v/>
      </c>
    </row>
    <row r="18" ht="21.75" customHeight="1" s="44">
      <c r="A18" s="17" t="n">
        <v>3</v>
      </c>
      <c r="B18" s="25" t="inlineStr">
        <is>
          <t>Auto loan (example)</t>
        </is>
      </c>
      <c r="C18" s="25" t="inlineStr">
        <is>
          <t>Auto loan</t>
        </is>
      </c>
      <c r="D18" s="15" t="n">
        <v>8300</v>
      </c>
      <c r="E18" s="28" t="n">
        <v>0.0849</v>
      </c>
      <c r="F18" s="15" t="n">
        <v>225</v>
      </c>
      <c r="G18" s="30">
        <f>IF(D18="","",RANK(D18,$D$16:$D$25,1)+COUNTIF($D$16:D18,D18)-1)</f>
        <v/>
      </c>
      <c r="H18" s="31">
        <f t="array" ref="H18">IF(G18="","",IFERROR(MATCH(0,INDEX('Payment Schedule'!$C$6:$L$65,0,G18),0),"60+"))</f>
        <v/>
      </c>
    </row>
    <row r="19" ht="21.75" customHeight="1" s="44">
      <c r="A19" s="24" t="n">
        <v>4</v>
      </c>
      <c r="B19" s="34" t="n"/>
      <c r="C19" s="35" t="n"/>
      <c r="D19" s="36" t="n"/>
      <c r="E19" s="38" t="n"/>
      <c r="F19" s="36" t="n"/>
      <c r="G19" s="32">
        <f>IF(D19="","",RANK(D19,$D$16:$D$25,1)+COUNTIF($D$16:D19,D19)-1)</f>
        <v/>
      </c>
      <c r="H19" s="33">
        <f t="array" ref="H19">IF(G19="","",IFERROR(MATCH(0,INDEX('Payment Schedule'!$C$6:$L$65,0,G19),0),"60+"))</f>
        <v/>
      </c>
    </row>
    <row r="20" ht="21.75" customHeight="1" s="44">
      <c r="A20" s="17" t="n">
        <v>5</v>
      </c>
      <c r="B20" s="34" t="n"/>
      <c r="C20" s="35" t="n"/>
      <c r="D20" s="36" t="n"/>
      <c r="E20" s="38" t="n"/>
      <c r="F20" s="36" t="n"/>
      <c r="G20" s="30">
        <f>IF(D20="","",RANK(D20,$D$16:$D$25,1)+COUNTIF($D$16:D20,D20)-1)</f>
        <v/>
      </c>
      <c r="H20" s="31">
        <f t="array" ref="H20">IF(G20="","",IFERROR(MATCH(0,INDEX('Payment Schedule'!$C$6:$L$65,0,G20),0),"60+"))</f>
        <v/>
      </c>
    </row>
    <row r="21" ht="21.75" customHeight="1" s="44">
      <c r="A21" s="24" t="n">
        <v>6</v>
      </c>
      <c r="B21" s="34" t="n"/>
      <c r="C21" s="35" t="n"/>
      <c r="D21" s="36" t="n"/>
      <c r="E21" s="38" t="n"/>
      <c r="F21" s="36" t="n"/>
      <c r="G21" s="32">
        <f>IF(D21="","",RANK(D21,$D$16:$D$25,1)+COUNTIF($D$16:D21,D21)-1)</f>
        <v/>
      </c>
      <c r="H21" s="33">
        <f t="array" ref="H21">IF(G21="","",IFERROR(MATCH(0,INDEX('Payment Schedule'!$C$6:$L$65,0,G21),0),"60+"))</f>
        <v/>
      </c>
    </row>
    <row r="22" ht="21.75" customHeight="1" s="44">
      <c r="A22" s="17" t="n">
        <v>7</v>
      </c>
      <c r="B22" s="34" t="n"/>
      <c r="C22" s="35" t="n"/>
      <c r="D22" s="36" t="n"/>
      <c r="E22" s="38" t="n"/>
      <c r="F22" s="36" t="n"/>
      <c r="G22" s="30">
        <f>IF(D22="","",RANK(D22,$D$16:$D$25,1)+COUNTIF($D$16:D22,D22)-1)</f>
        <v/>
      </c>
      <c r="H22" s="31">
        <f t="array" ref="H22">IF(G22="","",IFERROR(MATCH(0,INDEX('Payment Schedule'!$C$6:$L$65,0,G22),0),"60+"))</f>
        <v/>
      </c>
    </row>
    <row r="23" ht="21.75" customHeight="1" s="44">
      <c r="A23" s="24" t="n">
        <v>8</v>
      </c>
      <c r="B23" s="34" t="n"/>
      <c r="C23" s="35" t="n"/>
      <c r="D23" s="36" t="n"/>
      <c r="E23" s="38" t="n"/>
      <c r="F23" s="36" t="n"/>
      <c r="G23" s="32">
        <f>IF(D23="","",RANK(D23,$D$16:$D$25,1)+COUNTIF($D$16:D23,D23)-1)</f>
        <v/>
      </c>
      <c r="H23" s="33">
        <f t="array" ref="H23">IF(G23="","",IFERROR(MATCH(0,INDEX('Payment Schedule'!$C$6:$L$65,0,G23),0),"60+"))</f>
        <v/>
      </c>
    </row>
    <row r="24" ht="21.75" customHeight="1" s="44">
      <c r="A24" s="17" t="n">
        <v>9</v>
      </c>
      <c r="B24" s="34" t="n"/>
      <c r="C24" s="35" t="n"/>
      <c r="D24" s="36" t="n"/>
      <c r="E24" s="38" t="n"/>
      <c r="F24" s="36" t="n"/>
      <c r="G24" s="30">
        <f>IF(D24="","",RANK(D24,$D$16:$D$25,1)+COUNTIF($D$16:D24,D24)-1)</f>
        <v/>
      </c>
      <c r="H24" s="31">
        <f t="array" ref="H24">IF(G24="","",IFERROR(MATCH(0,INDEX('Payment Schedule'!$C$6:$L$65,0,G24),0),"60+"))</f>
        <v/>
      </c>
    </row>
    <row r="25" ht="21.75" customHeight="1" s="44">
      <c r="A25" s="24" t="n">
        <v>10</v>
      </c>
      <c r="B25" s="34" t="n"/>
      <c r="C25" s="35" t="n"/>
      <c r="D25" s="36" t="n"/>
      <c r="E25" s="38" t="n"/>
      <c r="F25" s="36" t="n"/>
      <c r="G25" s="32">
        <f>IF(D25="","",RANK(D25,$D$16:$D$25,1)+COUNTIF($D$16:D25,D25)-1)</f>
        <v/>
      </c>
      <c r="H25" s="33">
        <f t="array" ref="H25">IF(G25="","",IFERROR(MATCH(0,INDEX('Payment Schedule'!$C$6:$L$65,0,G25),0),"60+"))</f>
        <v/>
      </c>
    </row>
    <row r="26" ht="15.75" customHeight="1" s="44"/>
    <row r="27" ht="24" customHeight="1" s="44">
      <c r="A27" s="45" t="inlineStr">
        <is>
          <t>CONSOLIDATION (optional)</t>
        </is>
      </c>
    </row>
    <row r="28" ht="21.75" customHeight="1" s="44">
      <c r="A28" s="11" t="inlineStr">
        <is>
          <t>Consolidation loan annual rate</t>
        </is>
      </c>
      <c r="B28" s="28" t="n">
        <v>0.12</v>
      </c>
    </row>
    <row r="29" ht="21.75" customHeight="1" s="44">
      <c r="A29" s="11" t="inlineStr">
        <is>
          <t>Term (months)</t>
        </is>
      </c>
      <c r="B29" s="39" t="n">
        <v>36</v>
      </c>
    </row>
    <row r="30" ht="21.75" customHeight="1" s="44">
      <c r="A30" s="11" t="inlineStr">
        <is>
          <t>Consolidated monthly payment</t>
        </is>
      </c>
      <c r="B30" s="13">
        <f>IFERROR(PMT(B28/12,B29,-B5),0)</f>
        <v/>
      </c>
    </row>
    <row r="31" ht="21.75" customHeight="1" s="44">
      <c r="A31" s="11" t="inlineStr">
        <is>
          <t>Total interest with consolidation</t>
        </is>
      </c>
      <c r="B31" s="13">
        <f>IFERROR(B30*B29-B5,0)</f>
        <v/>
      </c>
    </row>
    <row r="32" ht="21.75" customHeight="1" s="44">
      <c r="A32" s="11" t="inlineStr">
        <is>
          <t>Savings vs. snowball</t>
        </is>
      </c>
      <c r="B32" s="13">
        <f>B11-B31</f>
        <v/>
      </c>
    </row>
    <row r="33" ht="24" customHeight="1" s="44">
      <c r="A33" s="40">
        <f>IF(B5=0,"",IF(B32&gt;0,"✅ Consolidation would save you "&amp;TEXT(B32,"$#,##0.00"),IF(B32&lt;0,"⚠️ The snowball works out better for you by "&amp;TEXT(ABS(B32),"$#,##0.00"),"◦ No meaningful difference")))</f>
        <v/>
      </c>
    </row>
    <row r="34" ht="15.75" customHeight="1" s="44"/>
    <row r="35" ht="15.75" customHeight="1" s="44"/>
    <row r="36" ht="15.75" customHeight="1" s="44"/>
    <row r="37" ht="15.75" customHeight="1" s="44"/>
    <row r="38" ht="15.75" customHeight="1" s="44"/>
    <row r="39" ht="15.75" customHeight="1" s="44"/>
    <row r="40" ht="15.75" customHeight="1" s="44"/>
    <row r="41" ht="15.75" customHeight="1" s="44"/>
    <row r="42" ht="15.75" customHeight="1" s="44"/>
    <row r="43" ht="15.75" customHeight="1" s="44"/>
    <row r="44" ht="15.75" customHeight="1" s="44"/>
    <row r="45" ht="15.75" customHeight="1" s="44"/>
    <row r="46" ht="15.75" customHeight="1" s="44"/>
    <row r="47" ht="15.75" customHeight="1" s="44"/>
    <row r="48" ht="15.75" customHeight="1" s="44"/>
    <row r="49" ht="15.75" customHeight="1" s="44"/>
    <row r="50" ht="15.75" customHeight="1" s="44"/>
    <row r="51" ht="15.75" customHeight="1" s="44"/>
    <row r="52" ht="15.75" customHeight="1" s="44"/>
    <row r="53" ht="15.75" customHeight="1" s="44"/>
    <row r="54" ht="15.75" customHeight="1" s="44"/>
    <row r="55" ht="15.75" customHeight="1" s="44"/>
    <row r="56" ht="15.75" customHeight="1" s="44"/>
    <row r="57" ht="15.75" customHeight="1" s="44"/>
    <row r="58" ht="15.75" customHeight="1" s="44"/>
    <row r="59" ht="15.75" customHeight="1" s="44"/>
    <row r="60" ht="15.75" customHeight="1" s="44"/>
    <row r="61" ht="15.75" customHeight="1" s="44"/>
    <row r="62" ht="15.75" customHeight="1" s="44"/>
    <row r="63" ht="15.75" customHeight="1" s="44"/>
    <row r="64" ht="15.75" customHeight="1" s="44"/>
    <row r="65" ht="15.75" customHeight="1" s="44"/>
    <row r="66" ht="15.75" customHeight="1" s="44"/>
    <row r="67" ht="15.75" customHeight="1" s="44"/>
    <row r="68" ht="15.75" customHeight="1" s="44"/>
    <row r="69" ht="15.75" customHeight="1" s="44"/>
    <row r="70" ht="15.75" customHeight="1" s="44"/>
    <row r="71" ht="15.75" customHeight="1" s="44"/>
    <row r="72" ht="15.75" customHeight="1" s="44"/>
    <row r="73" ht="15.75" customHeight="1" s="44"/>
    <row r="74" ht="15.75" customHeight="1" s="44"/>
    <row r="75" ht="15.75" customHeight="1" s="44"/>
    <row r="76" ht="15.75" customHeight="1" s="44"/>
    <row r="77" ht="15.75" customHeight="1" s="44"/>
    <row r="78" ht="15.75" customHeight="1" s="44"/>
    <row r="79" ht="15.75" customHeight="1" s="44"/>
    <row r="80" ht="15.75" customHeight="1" s="44"/>
    <row r="81" ht="15.75" customHeight="1" s="44"/>
    <row r="82" ht="15.75" customHeight="1" s="44"/>
    <row r="83" ht="15.75" customHeight="1" s="44"/>
    <row r="84" ht="15.75" customHeight="1" s="44"/>
    <row r="85" ht="15.75" customHeight="1" s="44"/>
    <row r="86" ht="15.75" customHeight="1" s="44"/>
    <row r="87" ht="15.75" customHeight="1" s="44"/>
    <row r="88" ht="15.75" customHeight="1" s="44"/>
    <row r="89" ht="15.75" customHeight="1" s="44"/>
    <row r="90" ht="15.75" customHeight="1" s="44"/>
    <row r="91" ht="15.75" customHeight="1" s="44"/>
    <row r="92" ht="15.75" customHeight="1" s="44"/>
    <row r="93" ht="15.75" customHeight="1" s="44"/>
    <row r="94" ht="15.75" customHeight="1" s="44"/>
    <row r="95" ht="15.75" customHeight="1" s="44"/>
    <row r="96" ht="15.75" customHeight="1" s="44"/>
    <row r="97" ht="15.75" customHeight="1" s="44"/>
    <row r="98" ht="15.75" customHeight="1" s="44"/>
    <row r="99" ht="15.75" customHeight="1" s="44"/>
    <row r="100" ht="15.75" customHeight="1" s="44"/>
    <row r="101" ht="15.75" customHeight="1" s="44"/>
    <row r="102" ht="15.75" customHeight="1" s="44"/>
    <row r="103" ht="15.75" customHeight="1" s="44"/>
    <row r="104" ht="15.75" customHeight="1" s="44"/>
    <row r="105" ht="15.75" customHeight="1" s="44"/>
    <row r="106" ht="15.75" customHeight="1" s="44"/>
    <row r="107" ht="15.75" customHeight="1" s="44"/>
    <row r="108" ht="15.75" customHeight="1" s="44"/>
    <row r="109" ht="15.75" customHeight="1" s="44"/>
    <row r="110" ht="15.75" customHeight="1" s="44"/>
    <row r="111" ht="15.75" customHeight="1" s="44"/>
    <row r="112" ht="15.75" customHeight="1" s="44"/>
    <row r="113" ht="15.75" customHeight="1" s="44"/>
    <row r="114" ht="15.75" customHeight="1" s="44"/>
    <row r="115" ht="15.75" customHeight="1" s="44"/>
    <row r="116" ht="15.75" customHeight="1" s="44"/>
    <row r="117" ht="15.75" customHeight="1" s="44"/>
    <row r="118" ht="15.75" customHeight="1" s="44"/>
    <row r="119" ht="15.75" customHeight="1" s="44"/>
    <row r="120" ht="15.75" customHeight="1" s="44"/>
    <row r="121" ht="15.75" customHeight="1" s="44"/>
    <row r="122" ht="15.75" customHeight="1" s="44"/>
    <row r="123" ht="15.75" customHeight="1" s="44"/>
    <row r="124" ht="15.75" customHeight="1" s="44"/>
    <row r="125" ht="15.75" customHeight="1" s="44"/>
    <row r="126" ht="15.75" customHeight="1" s="44"/>
    <row r="127" ht="15.75" customHeight="1" s="44"/>
    <row r="128" ht="15.75" customHeight="1" s="44"/>
    <row r="129" ht="15.75" customHeight="1" s="44"/>
    <row r="130" ht="15.75" customHeight="1" s="44"/>
    <row r="131" ht="15.75" customHeight="1" s="44"/>
    <row r="132" ht="15.75" customHeight="1" s="44"/>
    <row r="133" ht="15.75" customHeight="1" s="44"/>
    <row r="134" ht="15.75" customHeight="1" s="44"/>
    <row r="135" ht="15.75" customHeight="1" s="44"/>
    <row r="136" ht="15.75" customHeight="1" s="44"/>
    <row r="137" ht="15.75" customHeight="1" s="44"/>
    <row r="138" ht="15.75" customHeight="1" s="44"/>
    <row r="139" ht="15.75" customHeight="1" s="44"/>
    <row r="140" ht="15.75" customHeight="1" s="44"/>
    <row r="141" ht="15.75" customHeight="1" s="44"/>
    <row r="142" ht="15.75" customHeight="1" s="44"/>
    <row r="143" ht="15.75" customHeight="1" s="44"/>
    <row r="144" ht="15.75" customHeight="1" s="44"/>
    <row r="145" ht="15.75" customHeight="1" s="44"/>
    <row r="146" ht="15.75" customHeight="1" s="44"/>
    <row r="147" ht="15.75" customHeight="1" s="44"/>
    <row r="148" ht="15.75" customHeight="1" s="44"/>
    <row r="149" ht="15.75" customHeight="1" s="44"/>
    <row r="150" ht="15.75" customHeight="1" s="44"/>
    <row r="151" ht="15.75" customHeight="1" s="44"/>
    <row r="152" ht="15.75" customHeight="1" s="44"/>
    <row r="153" ht="15.75" customHeight="1" s="44"/>
    <row r="154" ht="15.75" customHeight="1" s="44"/>
    <row r="155" ht="15.75" customHeight="1" s="44"/>
    <row r="156" ht="15.75" customHeight="1" s="44"/>
    <row r="157" ht="15.75" customHeight="1" s="44"/>
    <row r="158" ht="15.75" customHeight="1" s="44"/>
    <row r="159" ht="15.75" customHeight="1" s="44"/>
    <row r="160" ht="15.75" customHeight="1" s="44"/>
    <row r="161" ht="15.75" customHeight="1" s="44"/>
    <row r="162" ht="15.75" customHeight="1" s="44"/>
    <row r="163" ht="15.75" customHeight="1" s="44"/>
    <row r="164" ht="15.75" customHeight="1" s="44"/>
    <row r="165" ht="15.75" customHeight="1" s="44"/>
    <row r="166" ht="15.75" customHeight="1" s="44"/>
    <row r="167" ht="15.75" customHeight="1" s="44"/>
    <row r="168" ht="15.75" customHeight="1" s="44"/>
    <row r="169" ht="15.75" customHeight="1" s="44"/>
    <row r="170" ht="15.75" customHeight="1" s="44"/>
    <row r="171" ht="15.75" customHeight="1" s="44"/>
    <row r="172" ht="15.75" customHeight="1" s="44"/>
    <row r="173" ht="15.75" customHeight="1" s="44"/>
    <row r="174" ht="15.75" customHeight="1" s="44"/>
    <row r="175" ht="15.75" customHeight="1" s="44"/>
    <row r="176" ht="15.75" customHeight="1" s="44"/>
    <row r="177" ht="15.75" customHeight="1" s="44"/>
    <row r="178" ht="15.75" customHeight="1" s="44"/>
    <row r="179" ht="15.75" customHeight="1" s="44"/>
    <row r="180" ht="15.75" customHeight="1" s="44"/>
    <row r="181" ht="15.75" customHeight="1" s="44"/>
    <row r="182" ht="15.75" customHeight="1" s="44"/>
    <row r="183" ht="15.75" customHeight="1" s="44"/>
    <row r="184" ht="15.75" customHeight="1" s="44"/>
    <row r="185" ht="15.75" customHeight="1" s="44"/>
    <row r="186" ht="15.75" customHeight="1" s="44"/>
    <row r="187" ht="15.75" customHeight="1" s="44"/>
    <row r="188" ht="15.75" customHeight="1" s="44"/>
    <row r="189" ht="15.75" customHeight="1" s="44"/>
    <row r="190" ht="15.75" customHeight="1" s="44"/>
    <row r="191" ht="15.75" customHeight="1" s="44"/>
    <row r="192" ht="15.75" customHeight="1" s="44"/>
    <row r="193" ht="15.75" customHeight="1" s="44"/>
    <row r="194" ht="15.75" customHeight="1" s="44"/>
    <row r="195" ht="15.75" customHeight="1" s="44"/>
    <row r="196" ht="15.75" customHeight="1" s="44"/>
    <row r="197" ht="15.75" customHeight="1" s="44"/>
    <row r="198" ht="15.75" customHeight="1" s="44"/>
    <row r="199" ht="15.75" customHeight="1" s="44"/>
    <row r="200" ht="15.75" customHeight="1" s="44"/>
    <row r="201" ht="15.75" customHeight="1" s="44"/>
    <row r="202" ht="15.75" customHeight="1" s="44"/>
    <row r="203" ht="15.75" customHeight="1" s="44"/>
    <row r="204" ht="15.75" customHeight="1" s="44"/>
    <row r="205" ht="15.75" customHeight="1" s="44"/>
    <row r="206" ht="15.75" customHeight="1" s="44"/>
    <row r="207" ht="15.75" customHeight="1" s="44"/>
    <row r="208" ht="15.75" customHeight="1" s="44"/>
    <row r="209" ht="15.75" customHeight="1" s="44"/>
    <row r="210" ht="15.75" customHeight="1" s="44"/>
    <row r="211" ht="15.75" customHeight="1" s="44"/>
    <row r="212" ht="15.75" customHeight="1" s="44"/>
    <row r="213" ht="15.75" customHeight="1" s="44"/>
    <row r="214" ht="15.75" customHeight="1" s="44"/>
    <row r="215" ht="15.75" customHeight="1" s="44"/>
    <row r="216" ht="15.75" customHeight="1" s="44"/>
    <row r="217" ht="15.75" customHeight="1" s="44"/>
    <row r="218" ht="15.75" customHeight="1" s="44"/>
    <row r="219" ht="15.75" customHeight="1" s="44"/>
    <row r="220" ht="15.75" customHeight="1" s="44"/>
    <row r="221" ht="15.75" customHeight="1" s="44"/>
    <row r="222" ht="15.75" customHeight="1" s="44"/>
    <row r="223" ht="15.75" customHeight="1" s="44"/>
    <row r="224" ht="15.75" customHeight="1" s="44"/>
    <row r="225" ht="15.75" customHeight="1" s="44"/>
    <row r="226" ht="15.75" customHeight="1" s="44"/>
    <row r="227" ht="15.75" customHeight="1" s="44"/>
    <row r="228" ht="15.75" customHeight="1" s="44"/>
    <row r="229" ht="15.75" customHeight="1" s="44"/>
    <row r="230" ht="15.75" customHeight="1" s="44"/>
    <row r="231" ht="15.75" customHeight="1" s="44"/>
    <row r="232" ht="15.75" customHeight="1" s="44"/>
    <row r="233" ht="15.75" customHeight="1" s="44"/>
    <row r="234" ht="15.75" customHeight="1" s="44"/>
    <row r="235" ht="15.75" customHeight="1" s="44"/>
    <row r="236" ht="15.75" customHeight="1" s="44"/>
    <row r="237" ht="15.75" customHeight="1" s="44"/>
    <row r="238" ht="15.75" customHeight="1" s="44"/>
    <row r="239" ht="15.75" customHeight="1" s="44"/>
    <row r="240" ht="15.75" customHeight="1" s="44"/>
    <row r="241" ht="15.75" customHeight="1" s="44"/>
    <row r="242" ht="15.75" customHeight="1" s="44"/>
    <row r="243" ht="15.75" customHeight="1" s="44"/>
    <row r="244" ht="15.75" customHeight="1" s="44"/>
    <row r="245" ht="15.75" customHeight="1" s="44"/>
    <row r="246" ht="15.75" customHeight="1" s="44"/>
    <row r="247" ht="15.75" customHeight="1" s="44"/>
    <row r="248" ht="15.75" customHeight="1" s="44"/>
    <row r="249" ht="15.75" customHeight="1" s="44"/>
    <row r="250" ht="15.75" customHeight="1" s="44"/>
    <row r="251" ht="15.75" customHeight="1" s="44"/>
    <row r="252" ht="15.75" customHeight="1" s="44"/>
    <row r="253" ht="15.75" customHeight="1" s="44"/>
    <row r="254" ht="15.75" customHeight="1" s="44"/>
    <row r="255" ht="15.75" customHeight="1" s="44"/>
    <row r="256" ht="15.75" customHeight="1" s="44"/>
    <row r="257" ht="15.75" customHeight="1" s="44"/>
    <row r="258" ht="15.75" customHeight="1" s="44"/>
    <row r="259" ht="15.75" customHeight="1" s="44"/>
    <row r="260" ht="15.75" customHeight="1" s="44"/>
    <row r="261" ht="15.75" customHeight="1" s="44"/>
    <row r="262" ht="15.75" customHeight="1" s="44"/>
    <row r="263" ht="15.75" customHeight="1" s="44"/>
    <row r="264" ht="15.75" customHeight="1" s="44"/>
    <row r="265" ht="15.75" customHeight="1" s="44"/>
    <row r="266" ht="15.75" customHeight="1" s="44"/>
    <row r="267" ht="15.75" customHeight="1" s="44"/>
    <row r="268" ht="15.75" customHeight="1" s="44"/>
    <row r="269" ht="15.75" customHeight="1" s="44"/>
    <row r="270" ht="15.75" customHeight="1" s="44"/>
    <row r="271" ht="15.75" customHeight="1" s="44"/>
    <row r="272" ht="15.75" customHeight="1" s="44"/>
    <row r="273" ht="15.75" customHeight="1" s="44"/>
    <row r="274" ht="15.75" customHeight="1" s="44"/>
    <row r="275" ht="15.75" customHeight="1" s="44"/>
    <row r="276" ht="15.75" customHeight="1" s="44"/>
    <row r="277" ht="15.75" customHeight="1" s="44"/>
    <row r="278" ht="15.75" customHeight="1" s="44"/>
    <row r="279" ht="15.75" customHeight="1" s="44"/>
    <row r="280" ht="15.75" customHeight="1" s="44"/>
    <row r="281" ht="15.75" customHeight="1" s="44"/>
    <row r="282" ht="15.75" customHeight="1" s="44"/>
    <row r="283" ht="15.75" customHeight="1" s="44"/>
    <row r="284" ht="15.75" customHeight="1" s="44"/>
    <row r="285" ht="15.75" customHeight="1" s="44"/>
    <row r="286" ht="15.75" customHeight="1" s="44"/>
    <row r="287" ht="15.75" customHeight="1" s="44"/>
    <row r="288" ht="15.75" customHeight="1" s="44"/>
    <row r="289" ht="15.75" customHeight="1" s="44"/>
    <row r="290" ht="15.75" customHeight="1" s="44"/>
    <row r="291" ht="15.75" customHeight="1" s="44"/>
    <row r="292" ht="15.75" customHeight="1" s="44"/>
    <row r="293" ht="15.75" customHeight="1" s="44"/>
    <row r="294" ht="15.75" customHeight="1" s="44"/>
    <row r="295" ht="15.75" customHeight="1" s="44"/>
    <row r="296" ht="15.75" customHeight="1" s="44"/>
    <row r="297" ht="15.75" customHeight="1" s="44"/>
    <row r="298" ht="15.75" customHeight="1" s="44"/>
    <row r="299" ht="15.75" customHeight="1" s="44"/>
    <row r="300" ht="15.75" customHeight="1" s="44"/>
    <row r="301" ht="15.75" customHeight="1" s="44"/>
    <row r="302" ht="15.75" customHeight="1" s="44"/>
    <row r="303" ht="15.75" customHeight="1" s="44"/>
    <row r="304" ht="15.75" customHeight="1" s="44"/>
    <row r="305" ht="15.75" customHeight="1" s="44"/>
    <row r="306" ht="15.75" customHeight="1" s="44"/>
    <row r="307" ht="15.75" customHeight="1" s="44"/>
    <row r="308" ht="15.75" customHeight="1" s="44"/>
    <row r="309" ht="15.75" customHeight="1" s="44"/>
    <row r="310" ht="15.75" customHeight="1" s="44"/>
    <row r="311" ht="15.75" customHeight="1" s="44"/>
    <row r="312" ht="15.75" customHeight="1" s="44"/>
    <row r="313" ht="15.75" customHeight="1" s="44"/>
    <row r="314" ht="15.75" customHeight="1" s="44"/>
    <row r="315" ht="15.75" customHeight="1" s="44"/>
    <row r="316" ht="15.75" customHeight="1" s="44"/>
    <row r="317" ht="15.75" customHeight="1" s="44"/>
    <row r="318" ht="15.75" customHeight="1" s="44"/>
    <row r="319" ht="15.75" customHeight="1" s="44"/>
    <row r="320" ht="15.75" customHeight="1" s="44"/>
    <row r="321" ht="15.75" customHeight="1" s="44"/>
    <row r="322" ht="15.75" customHeight="1" s="44"/>
    <row r="323" ht="15.75" customHeight="1" s="44"/>
    <row r="324" ht="15.75" customHeight="1" s="44"/>
    <row r="325" ht="15.75" customHeight="1" s="44"/>
    <row r="326" ht="15.75" customHeight="1" s="44"/>
    <row r="327" ht="15.75" customHeight="1" s="44"/>
    <row r="328" ht="15.75" customHeight="1" s="44"/>
    <row r="329" ht="15.75" customHeight="1" s="44"/>
    <row r="330" ht="15.75" customHeight="1" s="44"/>
    <row r="331" ht="15.75" customHeight="1" s="44"/>
    <row r="332" ht="15.75" customHeight="1" s="44"/>
    <row r="333" ht="15.75" customHeight="1" s="44"/>
    <row r="334" ht="15.75" customHeight="1" s="44"/>
    <row r="335" ht="15.75" customHeight="1" s="44"/>
    <row r="336" ht="15.75" customHeight="1" s="44"/>
    <row r="337" ht="15.75" customHeight="1" s="44"/>
    <row r="338" ht="15.75" customHeight="1" s="44"/>
    <row r="339" ht="15.75" customHeight="1" s="44"/>
    <row r="340" ht="15.75" customHeight="1" s="44"/>
    <row r="341" ht="15.75" customHeight="1" s="44"/>
    <row r="342" ht="15.75" customHeight="1" s="44"/>
    <row r="343" ht="15.75" customHeight="1" s="44"/>
    <row r="344" ht="15.75" customHeight="1" s="44"/>
    <row r="345" ht="15.75" customHeight="1" s="44"/>
    <row r="346" ht="15.75" customHeight="1" s="44"/>
    <row r="347" ht="15.75" customHeight="1" s="44"/>
    <row r="348" ht="15.75" customHeight="1" s="44"/>
    <row r="349" ht="15.75" customHeight="1" s="44"/>
    <row r="350" ht="15.75" customHeight="1" s="44"/>
    <row r="351" ht="15.75" customHeight="1" s="44"/>
    <row r="352" ht="15.75" customHeight="1" s="44"/>
    <row r="353" ht="15.75" customHeight="1" s="44"/>
    <row r="354" ht="15.75" customHeight="1" s="44"/>
    <row r="355" ht="15.75" customHeight="1" s="44"/>
    <row r="356" ht="15.75" customHeight="1" s="44"/>
    <row r="357" ht="15.75" customHeight="1" s="44"/>
    <row r="358" ht="15.75" customHeight="1" s="44"/>
    <row r="359" ht="15.75" customHeight="1" s="44"/>
    <row r="360" ht="15.75" customHeight="1" s="44"/>
    <row r="361" ht="15.75" customHeight="1" s="44"/>
    <row r="362" ht="15.75" customHeight="1" s="44"/>
    <row r="363" ht="15.75" customHeight="1" s="44"/>
    <row r="364" ht="15.75" customHeight="1" s="44"/>
    <row r="365" ht="15.75" customHeight="1" s="44"/>
    <row r="366" ht="15.75" customHeight="1" s="44"/>
    <row r="367" ht="15.75" customHeight="1" s="44"/>
    <row r="368" ht="15.75" customHeight="1" s="44"/>
    <row r="369" ht="15.75" customHeight="1" s="44"/>
    <row r="370" ht="15.75" customHeight="1" s="44"/>
    <row r="371" ht="15.75" customHeight="1" s="44"/>
    <row r="372" ht="15.75" customHeight="1" s="44"/>
    <row r="373" ht="15.75" customHeight="1" s="44"/>
    <row r="374" ht="15.75" customHeight="1" s="44"/>
    <row r="375" ht="15.75" customHeight="1" s="44"/>
    <row r="376" ht="15.75" customHeight="1" s="44"/>
    <row r="377" ht="15.75" customHeight="1" s="44"/>
    <row r="378" ht="15.75" customHeight="1" s="44"/>
    <row r="379" ht="15.75" customHeight="1" s="44"/>
    <row r="380" ht="15.75" customHeight="1" s="44"/>
    <row r="381" ht="15.75" customHeight="1" s="44"/>
    <row r="382" ht="15.75" customHeight="1" s="44"/>
    <row r="383" ht="15.75" customHeight="1" s="44"/>
    <row r="384" ht="15.75" customHeight="1" s="44"/>
    <row r="385" ht="15.75" customHeight="1" s="44"/>
    <row r="386" ht="15.75" customHeight="1" s="44"/>
    <row r="387" ht="15.75" customHeight="1" s="44"/>
    <row r="388" ht="15.75" customHeight="1" s="44"/>
    <row r="389" ht="15.75" customHeight="1" s="44"/>
    <row r="390" ht="15.75" customHeight="1" s="44"/>
    <row r="391" ht="15.75" customHeight="1" s="44"/>
    <row r="392" ht="15.75" customHeight="1" s="44"/>
    <row r="393" ht="15.75" customHeight="1" s="44"/>
    <row r="394" ht="15.75" customHeight="1" s="44"/>
    <row r="395" ht="15.75" customHeight="1" s="44"/>
    <row r="396" ht="15.75" customHeight="1" s="44"/>
    <row r="397" ht="15.75" customHeight="1" s="44"/>
    <row r="398" ht="15.75" customHeight="1" s="44"/>
    <row r="399" ht="15.75" customHeight="1" s="44"/>
    <row r="400" ht="15.75" customHeight="1" s="44"/>
    <row r="401" ht="15.75" customHeight="1" s="44"/>
    <row r="402" ht="15.75" customHeight="1" s="44"/>
    <row r="403" ht="15.75" customHeight="1" s="44"/>
    <row r="404" ht="15.75" customHeight="1" s="44"/>
    <row r="405" ht="15.75" customHeight="1" s="44"/>
    <row r="406" ht="15.75" customHeight="1" s="44"/>
    <row r="407" ht="15.75" customHeight="1" s="44"/>
    <row r="408" ht="15.75" customHeight="1" s="44"/>
    <row r="409" ht="15.75" customHeight="1" s="44"/>
    <row r="410" ht="15.75" customHeight="1" s="44"/>
    <row r="411" ht="15.75" customHeight="1" s="44"/>
    <row r="412" ht="15.75" customHeight="1" s="44"/>
    <row r="413" ht="15.75" customHeight="1" s="44"/>
    <row r="414" ht="15.75" customHeight="1" s="44"/>
    <row r="415" ht="15.75" customHeight="1" s="44"/>
    <row r="416" ht="15.75" customHeight="1" s="44"/>
    <row r="417" ht="15.75" customHeight="1" s="44"/>
    <row r="418" ht="15.75" customHeight="1" s="44"/>
    <row r="419" ht="15.75" customHeight="1" s="44"/>
    <row r="420" ht="15.75" customHeight="1" s="44"/>
    <row r="421" ht="15.75" customHeight="1" s="44"/>
    <row r="422" ht="15.75" customHeight="1" s="44"/>
    <row r="423" ht="15.75" customHeight="1" s="44"/>
    <row r="424" ht="15.75" customHeight="1" s="44"/>
    <row r="425" ht="15.75" customHeight="1" s="44"/>
    <row r="426" ht="15.75" customHeight="1" s="44"/>
    <row r="427" ht="15.75" customHeight="1" s="44"/>
    <row r="428" ht="15.75" customHeight="1" s="44"/>
    <row r="429" ht="15.75" customHeight="1" s="44"/>
    <row r="430" ht="15.75" customHeight="1" s="44"/>
    <row r="431" ht="15.75" customHeight="1" s="44"/>
    <row r="432" ht="15.75" customHeight="1" s="44"/>
    <row r="433" ht="15.75" customHeight="1" s="44"/>
    <row r="434" ht="15.75" customHeight="1" s="44"/>
    <row r="435" ht="15.75" customHeight="1" s="44"/>
    <row r="436" ht="15.75" customHeight="1" s="44"/>
    <row r="437" ht="15.75" customHeight="1" s="44"/>
    <row r="438" ht="15.75" customHeight="1" s="44"/>
    <row r="439" ht="15.75" customHeight="1" s="44"/>
    <row r="440" ht="15.75" customHeight="1" s="44"/>
    <row r="441" ht="15.75" customHeight="1" s="44"/>
    <row r="442" ht="15.75" customHeight="1" s="44"/>
    <row r="443" ht="15.75" customHeight="1" s="44"/>
    <row r="444" ht="15.75" customHeight="1" s="44"/>
    <row r="445" ht="15.75" customHeight="1" s="44"/>
    <row r="446" ht="15.75" customHeight="1" s="44"/>
    <row r="447" ht="15.75" customHeight="1" s="44"/>
    <row r="448" ht="15.75" customHeight="1" s="44"/>
    <row r="449" ht="15.75" customHeight="1" s="44"/>
    <row r="450" ht="15.75" customHeight="1" s="44"/>
    <row r="451" ht="15.75" customHeight="1" s="44"/>
    <row r="452" ht="15.75" customHeight="1" s="44"/>
    <row r="453" ht="15.75" customHeight="1" s="44"/>
    <row r="454" ht="15.75" customHeight="1" s="44"/>
    <row r="455" ht="15.75" customHeight="1" s="44"/>
    <row r="456" ht="15.75" customHeight="1" s="44"/>
    <row r="457" ht="15.75" customHeight="1" s="44"/>
    <row r="458" ht="15.75" customHeight="1" s="44"/>
    <row r="459" ht="15.75" customHeight="1" s="44"/>
    <row r="460" ht="15.75" customHeight="1" s="44"/>
    <row r="461" ht="15.75" customHeight="1" s="44"/>
    <row r="462" ht="15.75" customHeight="1" s="44"/>
    <row r="463" ht="15.75" customHeight="1" s="44"/>
    <row r="464" ht="15.75" customHeight="1" s="44"/>
    <row r="465" ht="15.75" customHeight="1" s="44"/>
    <row r="466" ht="15.75" customHeight="1" s="44"/>
    <row r="467" ht="15.75" customHeight="1" s="44"/>
    <row r="468" ht="15.75" customHeight="1" s="44"/>
    <row r="469" ht="15.75" customHeight="1" s="44"/>
    <row r="470" ht="15.75" customHeight="1" s="44"/>
    <row r="471" ht="15.75" customHeight="1" s="44"/>
    <row r="472" ht="15.75" customHeight="1" s="44"/>
    <row r="473" ht="15.75" customHeight="1" s="44"/>
    <row r="474" ht="15.75" customHeight="1" s="44"/>
    <row r="475" ht="15.75" customHeight="1" s="44"/>
    <row r="476" ht="15.75" customHeight="1" s="44"/>
    <row r="477" ht="15.75" customHeight="1" s="44"/>
    <row r="478" ht="15.75" customHeight="1" s="44"/>
    <row r="479" ht="15.75" customHeight="1" s="44"/>
    <row r="480" ht="15.75" customHeight="1" s="44"/>
    <row r="481" ht="15.75" customHeight="1" s="44"/>
    <row r="482" ht="15.75" customHeight="1" s="44"/>
    <row r="483" ht="15.75" customHeight="1" s="44"/>
    <row r="484" ht="15.75" customHeight="1" s="44"/>
    <row r="485" ht="15.75" customHeight="1" s="44"/>
    <row r="486" ht="15.75" customHeight="1" s="44"/>
    <row r="487" ht="15.75" customHeight="1" s="44"/>
    <row r="488" ht="15.75" customHeight="1" s="44"/>
    <row r="489" ht="15.75" customHeight="1" s="44"/>
    <row r="490" ht="15.75" customHeight="1" s="44"/>
    <row r="491" ht="15.75" customHeight="1" s="44"/>
    <row r="492" ht="15.75" customHeight="1" s="44"/>
    <row r="493" ht="15.75" customHeight="1" s="44"/>
    <row r="494" ht="15.75" customHeight="1" s="44"/>
    <row r="495" ht="15.75" customHeight="1" s="44"/>
    <row r="496" ht="15.75" customHeight="1" s="44"/>
    <row r="497" ht="15.75" customHeight="1" s="44"/>
    <row r="498" ht="15.75" customHeight="1" s="44"/>
    <row r="499" ht="15.75" customHeight="1" s="44"/>
    <row r="500" ht="15.75" customHeight="1" s="44"/>
    <row r="501" ht="15.75" customHeight="1" s="44"/>
    <row r="502" ht="15.75" customHeight="1" s="44"/>
    <row r="503" ht="15.75" customHeight="1" s="44"/>
    <row r="504" ht="15.75" customHeight="1" s="44"/>
    <row r="505" ht="15.75" customHeight="1" s="44"/>
    <row r="506" ht="15.75" customHeight="1" s="44"/>
    <row r="507" ht="15.75" customHeight="1" s="44"/>
    <row r="508" ht="15.75" customHeight="1" s="44"/>
    <row r="509" ht="15.75" customHeight="1" s="44"/>
    <row r="510" ht="15.75" customHeight="1" s="44"/>
    <row r="511" ht="15.75" customHeight="1" s="44"/>
    <row r="512" ht="15.75" customHeight="1" s="44"/>
    <row r="513" ht="15.75" customHeight="1" s="44"/>
    <row r="514" ht="15.75" customHeight="1" s="44"/>
    <row r="515" ht="15.75" customHeight="1" s="44"/>
    <row r="516" ht="15.75" customHeight="1" s="44"/>
    <row r="517" ht="15.75" customHeight="1" s="44"/>
    <row r="518" ht="15.75" customHeight="1" s="44"/>
    <row r="519" ht="15.75" customHeight="1" s="44"/>
    <row r="520" ht="15.75" customHeight="1" s="44"/>
    <row r="521" ht="15.75" customHeight="1" s="44"/>
    <row r="522" ht="15.75" customHeight="1" s="44"/>
    <row r="523" ht="15.75" customHeight="1" s="44"/>
    <row r="524" ht="15.75" customHeight="1" s="44"/>
    <row r="525" ht="15.75" customHeight="1" s="44"/>
    <row r="526" ht="15.75" customHeight="1" s="44"/>
    <row r="527" ht="15.75" customHeight="1" s="44"/>
    <row r="528" ht="15.75" customHeight="1" s="44"/>
    <row r="529" ht="15.75" customHeight="1" s="44"/>
    <row r="530" ht="15.75" customHeight="1" s="44"/>
    <row r="531" ht="15.75" customHeight="1" s="44"/>
    <row r="532" ht="15.75" customHeight="1" s="44"/>
    <row r="533" ht="15.75" customHeight="1" s="44"/>
    <row r="534" ht="15.75" customHeight="1" s="44"/>
    <row r="535" ht="15.75" customHeight="1" s="44"/>
    <row r="536" ht="15.75" customHeight="1" s="44"/>
    <row r="537" ht="15.75" customHeight="1" s="44"/>
    <row r="538" ht="15.75" customHeight="1" s="44"/>
    <row r="539" ht="15.75" customHeight="1" s="44"/>
    <row r="540" ht="15.75" customHeight="1" s="44"/>
    <row r="541" ht="15.75" customHeight="1" s="44"/>
    <row r="542" ht="15.75" customHeight="1" s="44"/>
    <row r="543" ht="15.75" customHeight="1" s="44"/>
    <row r="544" ht="15.75" customHeight="1" s="44"/>
    <row r="545" ht="15.75" customHeight="1" s="44"/>
    <row r="546" ht="15.75" customHeight="1" s="44"/>
    <row r="547" ht="15.75" customHeight="1" s="44"/>
    <row r="548" ht="15.75" customHeight="1" s="44"/>
    <row r="549" ht="15.75" customHeight="1" s="44"/>
    <row r="550" ht="15.75" customHeight="1" s="44"/>
    <row r="551" ht="15.75" customHeight="1" s="44"/>
    <row r="552" ht="15.75" customHeight="1" s="44"/>
    <row r="553" ht="15.75" customHeight="1" s="44"/>
    <row r="554" ht="15.75" customHeight="1" s="44"/>
    <row r="555" ht="15.75" customHeight="1" s="44"/>
    <row r="556" ht="15.75" customHeight="1" s="44"/>
    <row r="557" ht="15.75" customHeight="1" s="44"/>
    <row r="558" ht="15.75" customHeight="1" s="44"/>
    <row r="559" ht="15.75" customHeight="1" s="44"/>
    <row r="560" ht="15.75" customHeight="1" s="44"/>
    <row r="561" ht="15.75" customHeight="1" s="44"/>
    <row r="562" ht="15.75" customHeight="1" s="44"/>
    <row r="563" ht="15.75" customHeight="1" s="44"/>
    <row r="564" ht="15.75" customHeight="1" s="44"/>
    <row r="565" ht="15.75" customHeight="1" s="44"/>
    <row r="566" ht="15.75" customHeight="1" s="44"/>
    <row r="567" ht="15.75" customHeight="1" s="44"/>
    <row r="568" ht="15.75" customHeight="1" s="44"/>
    <row r="569" ht="15.75" customHeight="1" s="44"/>
    <row r="570" ht="15.75" customHeight="1" s="44"/>
    <row r="571" ht="15.75" customHeight="1" s="44"/>
    <row r="572" ht="15.75" customHeight="1" s="44"/>
    <row r="573" ht="15.75" customHeight="1" s="44"/>
    <row r="574" ht="15.75" customHeight="1" s="44"/>
    <row r="575" ht="15.75" customHeight="1" s="44"/>
    <row r="576" ht="15.75" customHeight="1" s="44"/>
    <row r="577" ht="15.75" customHeight="1" s="44"/>
    <row r="578" ht="15.75" customHeight="1" s="44"/>
    <row r="579" ht="15.75" customHeight="1" s="44"/>
    <row r="580" ht="15.75" customHeight="1" s="44"/>
    <row r="581" ht="15.75" customHeight="1" s="44"/>
    <row r="582" ht="15.75" customHeight="1" s="44"/>
    <row r="583" ht="15.75" customHeight="1" s="44"/>
    <row r="584" ht="15.75" customHeight="1" s="44"/>
    <row r="585" ht="15.75" customHeight="1" s="44"/>
    <row r="586" ht="15.75" customHeight="1" s="44"/>
    <row r="587" ht="15.75" customHeight="1" s="44"/>
    <row r="588" ht="15.75" customHeight="1" s="44"/>
    <row r="589" ht="15.75" customHeight="1" s="44"/>
    <row r="590" ht="15.75" customHeight="1" s="44"/>
    <row r="591" ht="15.75" customHeight="1" s="44"/>
    <row r="592" ht="15.75" customHeight="1" s="44"/>
    <row r="593" ht="15.75" customHeight="1" s="44"/>
    <row r="594" ht="15.75" customHeight="1" s="44"/>
    <row r="595" ht="15.75" customHeight="1" s="44"/>
    <row r="596" ht="15.75" customHeight="1" s="44"/>
    <row r="597" ht="15.75" customHeight="1" s="44"/>
    <row r="598" ht="15.75" customHeight="1" s="44"/>
    <row r="599" ht="15.75" customHeight="1" s="44"/>
    <row r="600" ht="15.75" customHeight="1" s="44"/>
    <row r="601" ht="15.75" customHeight="1" s="44"/>
    <row r="602" ht="15.75" customHeight="1" s="44"/>
    <row r="603" ht="15.75" customHeight="1" s="44"/>
    <row r="604" ht="15.75" customHeight="1" s="44"/>
    <row r="605" ht="15.75" customHeight="1" s="44"/>
    <row r="606" ht="15.75" customHeight="1" s="44"/>
    <row r="607" ht="15.75" customHeight="1" s="44"/>
    <row r="608" ht="15.75" customHeight="1" s="44"/>
    <row r="609" ht="15.75" customHeight="1" s="44"/>
    <row r="610" ht="15.75" customHeight="1" s="44"/>
    <row r="611" ht="15.75" customHeight="1" s="44"/>
    <row r="612" ht="15.75" customHeight="1" s="44"/>
    <row r="613" ht="15.75" customHeight="1" s="44"/>
    <row r="614" ht="15.75" customHeight="1" s="44"/>
    <row r="615" ht="15.75" customHeight="1" s="44"/>
    <row r="616" ht="15.75" customHeight="1" s="44"/>
    <row r="617" ht="15.75" customHeight="1" s="44"/>
    <row r="618" ht="15.75" customHeight="1" s="44"/>
    <row r="619" ht="15.75" customHeight="1" s="44"/>
    <row r="620" ht="15.75" customHeight="1" s="44"/>
    <row r="621" ht="15.75" customHeight="1" s="44"/>
    <row r="622" ht="15.75" customHeight="1" s="44"/>
    <row r="623" ht="15.75" customHeight="1" s="44"/>
    <row r="624" ht="15.75" customHeight="1" s="44"/>
    <row r="625" ht="15.75" customHeight="1" s="44"/>
    <row r="626" ht="15.75" customHeight="1" s="44"/>
    <row r="627" ht="15.75" customHeight="1" s="44"/>
    <row r="628" ht="15.75" customHeight="1" s="44"/>
    <row r="629" ht="15.75" customHeight="1" s="44"/>
    <row r="630" ht="15.75" customHeight="1" s="44"/>
    <row r="631" ht="15.75" customHeight="1" s="44"/>
    <row r="632" ht="15.75" customHeight="1" s="44"/>
    <row r="633" ht="15.75" customHeight="1" s="44"/>
    <row r="634" ht="15.75" customHeight="1" s="44"/>
    <row r="635" ht="15.75" customHeight="1" s="44"/>
    <row r="636" ht="15.75" customHeight="1" s="44"/>
    <row r="637" ht="15.75" customHeight="1" s="44"/>
    <row r="638" ht="15.75" customHeight="1" s="44"/>
    <row r="639" ht="15.75" customHeight="1" s="44"/>
    <row r="640" ht="15.75" customHeight="1" s="44"/>
    <row r="641" ht="15.75" customHeight="1" s="44"/>
    <row r="642" ht="15.75" customHeight="1" s="44"/>
    <row r="643" ht="15.75" customHeight="1" s="44"/>
    <row r="644" ht="15.75" customHeight="1" s="44"/>
    <row r="645" ht="15.75" customHeight="1" s="44"/>
    <row r="646" ht="15.75" customHeight="1" s="44"/>
    <row r="647" ht="15.75" customHeight="1" s="44"/>
    <row r="648" ht="15.75" customHeight="1" s="44"/>
    <row r="649" ht="15.75" customHeight="1" s="44"/>
    <row r="650" ht="15.75" customHeight="1" s="44"/>
    <row r="651" ht="15.75" customHeight="1" s="44"/>
    <row r="652" ht="15.75" customHeight="1" s="44"/>
    <row r="653" ht="15.75" customHeight="1" s="44"/>
    <row r="654" ht="15.75" customHeight="1" s="44"/>
    <row r="655" ht="15.75" customHeight="1" s="44"/>
    <row r="656" ht="15.75" customHeight="1" s="44"/>
    <row r="657" ht="15.75" customHeight="1" s="44"/>
    <row r="658" ht="15.75" customHeight="1" s="44"/>
    <row r="659" ht="15.75" customHeight="1" s="44"/>
    <row r="660" ht="15.75" customHeight="1" s="44"/>
    <row r="661" ht="15.75" customHeight="1" s="44"/>
    <row r="662" ht="15.75" customHeight="1" s="44"/>
    <row r="663" ht="15.75" customHeight="1" s="44"/>
    <row r="664" ht="15.75" customHeight="1" s="44"/>
    <row r="665" ht="15.75" customHeight="1" s="44"/>
    <row r="666" ht="15.75" customHeight="1" s="44"/>
    <row r="667" ht="15.75" customHeight="1" s="44"/>
    <row r="668" ht="15.75" customHeight="1" s="44"/>
    <row r="669" ht="15.75" customHeight="1" s="44"/>
    <row r="670" ht="15.75" customHeight="1" s="44"/>
    <row r="671" ht="15.75" customHeight="1" s="44"/>
    <row r="672" ht="15.75" customHeight="1" s="44"/>
    <row r="673" ht="15.75" customHeight="1" s="44"/>
    <row r="674" ht="15.75" customHeight="1" s="44"/>
    <row r="675" ht="15.75" customHeight="1" s="44"/>
    <row r="676" ht="15.75" customHeight="1" s="44"/>
    <row r="677" ht="15.75" customHeight="1" s="44"/>
    <row r="678" ht="15.75" customHeight="1" s="44"/>
    <row r="679" ht="15.75" customHeight="1" s="44"/>
    <row r="680" ht="15.75" customHeight="1" s="44"/>
    <row r="681" ht="15.75" customHeight="1" s="44"/>
    <row r="682" ht="15.75" customHeight="1" s="44"/>
    <row r="683" ht="15.75" customHeight="1" s="44"/>
    <row r="684" ht="15.75" customHeight="1" s="44"/>
    <row r="685" ht="15.75" customHeight="1" s="44"/>
    <row r="686" ht="15.75" customHeight="1" s="44"/>
    <row r="687" ht="15.75" customHeight="1" s="44"/>
    <row r="688" ht="15.75" customHeight="1" s="44"/>
    <row r="689" ht="15.75" customHeight="1" s="44"/>
    <row r="690" ht="15.75" customHeight="1" s="44"/>
    <row r="691" ht="15.75" customHeight="1" s="44"/>
    <row r="692" ht="15.75" customHeight="1" s="44"/>
    <row r="693" ht="15.75" customHeight="1" s="44"/>
    <row r="694" ht="15.75" customHeight="1" s="44"/>
    <row r="695" ht="15.75" customHeight="1" s="44"/>
    <row r="696" ht="15.75" customHeight="1" s="44"/>
    <row r="697" ht="15.75" customHeight="1" s="44"/>
    <row r="698" ht="15.75" customHeight="1" s="44"/>
    <row r="699" ht="15.75" customHeight="1" s="44"/>
    <row r="700" ht="15.75" customHeight="1" s="44"/>
    <row r="701" ht="15.75" customHeight="1" s="44"/>
    <row r="702" ht="15.75" customHeight="1" s="44"/>
    <row r="703" ht="15.75" customHeight="1" s="44"/>
    <row r="704" ht="15.75" customHeight="1" s="44"/>
    <row r="705" ht="15.75" customHeight="1" s="44"/>
    <row r="706" ht="15.75" customHeight="1" s="44"/>
    <row r="707" ht="15.75" customHeight="1" s="44"/>
    <row r="708" ht="15.75" customHeight="1" s="44"/>
    <row r="709" ht="15.75" customHeight="1" s="44"/>
    <row r="710" ht="15.75" customHeight="1" s="44"/>
    <row r="711" ht="15.75" customHeight="1" s="44"/>
    <row r="712" ht="15.75" customHeight="1" s="44"/>
    <row r="713" ht="15.75" customHeight="1" s="44"/>
    <row r="714" ht="15.75" customHeight="1" s="44"/>
    <row r="715" ht="15.75" customHeight="1" s="44"/>
    <row r="716" ht="15.75" customHeight="1" s="44"/>
    <row r="717" ht="15.75" customHeight="1" s="44"/>
    <row r="718" ht="15.75" customHeight="1" s="44"/>
    <row r="719" ht="15.75" customHeight="1" s="44"/>
    <row r="720" ht="15.75" customHeight="1" s="44"/>
    <row r="721" ht="15.75" customHeight="1" s="44"/>
    <row r="722" ht="15.75" customHeight="1" s="44"/>
    <row r="723" ht="15.75" customHeight="1" s="44"/>
    <row r="724" ht="15.75" customHeight="1" s="44"/>
    <row r="725" ht="15.75" customHeight="1" s="44"/>
    <row r="726" ht="15.75" customHeight="1" s="44"/>
    <row r="727" ht="15.75" customHeight="1" s="44"/>
    <row r="728" ht="15.75" customHeight="1" s="44"/>
    <row r="729" ht="15.75" customHeight="1" s="44"/>
    <row r="730" ht="15.75" customHeight="1" s="44"/>
    <row r="731" ht="15.75" customHeight="1" s="44"/>
    <row r="732" ht="15.75" customHeight="1" s="44"/>
    <row r="733" ht="15.75" customHeight="1" s="44"/>
    <row r="734" ht="15.75" customHeight="1" s="44"/>
    <row r="735" ht="15.75" customHeight="1" s="44"/>
    <row r="736" ht="15.75" customHeight="1" s="44"/>
    <row r="737" ht="15.75" customHeight="1" s="44"/>
    <row r="738" ht="15.75" customHeight="1" s="44"/>
    <row r="739" ht="15.75" customHeight="1" s="44"/>
    <row r="740" ht="15.75" customHeight="1" s="44"/>
    <row r="741" ht="15.75" customHeight="1" s="44"/>
    <row r="742" ht="15.75" customHeight="1" s="44"/>
    <row r="743" ht="15.75" customHeight="1" s="44"/>
    <row r="744" ht="15.75" customHeight="1" s="44"/>
    <row r="745" ht="15.75" customHeight="1" s="44"/>
    <row r="746" ht="15.75" customHeight="1" s="44"/>
    <row r="747" ht="15.75" customHeight="1" s="44"/>
    <row r="748" ht="15.75" customHeight="1" s="44"/>
    <row r="749" ht="15.75" customHeight="1" s="44"/>
    <row r="750" ht="15.75" customHeight="1" s="44"/>
    <row r="751" ht="15.75" customHeight="1" s="44"/>
    <row r="752" ht="15.75" customHeight="1" s="44"/>
    <row r="753" ht="15.75" customHeight="1" s="44"/>
    <row r="754" ht="15.75" customHeight="1" s="44"/>
    <row r="755" ht="15.75" customHeight="1" s="44"/>
    <row r="756" ht="15.75" customHeight="1" s="44"/>
    <row r="757" ht="15.75" customHeight="1" s="44"/>
    <row r="758" ht="15.75" customHeight="1" s="44"/>
    <row r="759" ht="15.75" customHeight="1" s="44"/>
    <row r="760" ht="15.75" customHeight="1" s="44"/>
    <row r="761" ht="15.75" customHeight="1" s="44"/>
    <row r="762" ht="15.75" customHeight="1" s="44"/>
    <row r="763" ht="15.75" customHeight="1" s="44"/>
    <row r="764" ht="15.75" customHeight="1" s="44"/>
    <row r="765" ht="15.75" customHeight="1" s="44"/>
    <row r="766" ht="15.75" customHeight="1" s="44"/>
    <row r="767" ht="15.75" customHeight="1" s="44"/>
    <row r="768" ht="15.75" customHeight="1" s="44"/>
    <row r="769" ht="15.75" customHeight="1" s="44"/>
    <row r="770" ht="15.75" customHeight="1" s="44"/>
    <row r="771" ht="15.75" customHeight="1" s="44"/>
    <row r="772" ht="15.75" customHeight="1" s="44"/>
    <row r="773" ht="15.75" customHeight="1" s="44"/>
    <row r="774" ht="15.75" customHeight="1" s="44"/>
    <row r="775" ht="15.75" customHeight="1" s="44"/>
    <row r="776" ht="15.75" customHeight="1" s="44"/>
    <row r="777" ht="15.75" customHeight="1" s="44"/>
    <row r="778" ht="15.75" customHeight="1" s="44"/>
    <row r="779" ht="15.75" customHeight="1" s="44"/>
    <row r="780" ht="15.75" customHeight="1" s="44"/>
    <row r="781" ht="15.75" customHeight="1" s="44"/>
    <row r="782" ht="15.75" customHeight="1" s="44"/>
    <row r="783" ht="15.75" customHeight="1" s="44"/>
    <row r="784" ht="15.75" customHeight="1" s="44"/>
    <row r="785" ht="15.75" customHeight="1" s="44"/>
    <row r="786" ht="15.75" customHeight="1" s="44"/>
    <row r="787" ht="15.75" customHeight="1" s="44"/>
    <row r="788" ht="15.75" customHeight="1" s="44"/>
    <row r="789" ht="15.75" customHeight="1" s="44"/>
    <row r="790" ht="15.75" customHeight="1" s="44"/>
    <row r="791" ht="15.75" customHeight="1" s="44"/>
    <row r="792" ht="15.75" customHeight="1" s="44"/>
    <row r="793" ht="15.75" customHeight="1" s="44"/>
    <row r="794" ht="15.75" customHeight="1" s="44"/>
    <row r="795" ht="15.75" customHeight="1" s="44"/>
    <row r="796" ht="15.75" customHeight="1" s="44"/>
    <row r="797" ht="15.75" customHeight="1" s="44"/>
    <row r="798" ht="15.75" customHeight="1" s="44"/>
    <row r="799" ht="15.75" customHeight="1" s="44"/>
    <row r="800" ht="15.75" customHeight="1" s="44"/>
    <row r="801" ht="15.75" customHeight="1" s="44"/>
    <row r="802" ht="15.75" customHeight="1" s="44"/>
    <row r="803" ht="15.75" customHeight="1" s="44"/>
    <row r="804" ht="15.75" customHeight="1" s="44"/>
    <row r="805" ht="15.75" customHeight="1" s="44"/>
    <row r="806" ht="15.75" customHeight="1" s="44"/>
    <row r="807" ht="15.75" customHeight="1" s="44"/>
    <row r="808" ht="15.75" customHeight="1" s="44"/>
    <row r="809" ht="15.75" customHeight="1" s="44"/>
    <row r="810" ht="15.75" customHeight="1" s="44"/>
    <row r="811" ht="15.75" customHeight="1" s="44"/>
    <row r="812" ht="15.75" customHeight="1" s="44"/>
    <row r="813" ht="15.75" customHeight="1" s="44"/>
    <row r="814" ht="15.75" customHeight="1" s="44"/>
    <row r="815" ht="15.75" customHeight="1" s="44"/>
    <row r="816" ht="15.75" customHeight="1" s="44"/>
    <row r="817" ht="15.75" customHeight="1" s="44"/>
    <row r="818" ht="15.75" customHeight="1" s="44"/>
    <row r="819" ht="15.75" customHeight="1" s="44"/>
    <row r="820" ht="15.75" customHeight="1" s="44"/>
    <row r="821" ht="15.75" customHeight="1" s="44"/>
    <row r="822" ht="15.75" customHeight="1" s="44"/>
    <row r="823" ht="15.75" customHeight="1" s="44"/>
    <row r="824" ht="15.75" customHeight="1" s="44"/>
    <row r="825" ht="15.75" customHeight="1" s="44"/>
    <row r="826" ht="15.75" customHeight="1" s="44"/>
    <row r="827" ht="15.75" customHeight="1" s="44"/>
    <row r="828" ht="15.75" customHeight="1" s="44"/>
    <row r="829" ht="15.75" customHeight="1" s="44"/>
    <row r="830" ht="15.75" customHeight="1" s="44"/>
    <row r="831" ht="15.75" customHeight="1" s="44"/>
    <row r="832" ht="15.75" customHeight="1" s="44"/>
    <row r="833" ht="15.75" customHeight="1" s="44"/>
    <row r="834" ht="15.75" customHeight="1" s="44"/>
    <row r="835" ht="15.75" customHeight="1" s="44"/>
    <row r="836" ht="15.75" customHeight="1" s="44"/>
    <row r="837" ht="15.75" customHeight="1" s="44"/>
    <row r="838" ht="15.75" customHeight="1" s="44"/>
    <row r="839" ht="15.75" customHeight="1" s="44"/>
    <row r="840" ht="15.75" customHeight="1" s="44"/>
    <row r="841" ht="15.75" customHeight="1" s="44"/>
    <row r="842" ht="15.75" customHeight="1" s="44"/>
    <row r="843" ht="15.75" customHeight="1" s="44"/>
    <row r="844" ht="15.75" customHeight="1" s="44"/>
    <row r="845" ht="15.75" customHeight="1" s="44"/>
    <row r="846" ht="15.75" customHeight="1" s="44"/>
    <row r="847" ht="15.75" customHeight="1" s="44"/>
    <row r="848" ht="15.75" customHeight="1" s="44"/>
    <row r="849" ht="15.75" customHeight="1" s="44"/>
    <row r="850" ht="15.75" customHeight="1" s="44"/>
    <row r="851" ht="15.75" customHeight="1" s="44"/>
    <row r="852" ht="15.75" customHeight="1" s="44"/>
    <row r="853" ht="15.75" customHeight="1" s="44"/>
    <row r="854" ht="15.75" customHeight="1" s="44"/>
    <row r="855" ht="15.75" customHeight="1" s="44"/>
    <row r="856" ht="15.75" customHeight="1" s="44"/>
    <row r="857" ht="15.75" customHeight="1" s="44"/>
    <row r="858" ht="15.75" customHeight="1" s="44"/>
    <row r="859" ht="15.75" customHeight="1" s="44"/>
    <row r="860" ht="15.75" customHeight="1" s="44"/>
    <row r="861" ht="15.75" customHeight="1" s="44"/>
    <row r="862" ht="15.75" customHeight="1" s="44"/>
    <row r="863" ht="15.75" customHeight="1" s="44"/>
    <row r="864" ht="15.75" customHeight="1" s="44"/>
    <row r="865" ht="15.75" customHeight="1" s="44"/>
    <row r="866" ht="15.75" customHeight="1" s="44"/>
    <row r="867" ht="15.75" customHeight="1" s="44"/>
    <row r="868" ht="15.75" customHeight="1" s="44"/>
    <row r="869" ht="15.75" customHeight="1" s="44"/>
    <row r="870" ht="15.75" customHeight="1" s="44"/>
    <row r="871" ht="15.75" customHeight="1" s="44"/>
    <row r="872" ht="15.75" customHeight="1" s="44"/>
    <row r="873" ht="15.75" customHeight="1" s="44"/>
    <row r="874" ht="15.75" customHeight="1" s="44"/>
    <row r="875" ht="15.75" customHeight="1" s="44"/>
    <row r="876" ht="15.75" customHeight="1" s="44"/>
    <row r="877" ht="15.75" customHeight="1" s="44"/>
    <row r="878" ht="15.75" customHeight="1" s="44"/>
    <row r="879" ht="15.75" customHeight="1" s="44"/>
    <row r="880" ht="15.75" customHeight="1" s="44"/>
    <row r="881" ht="15.75" customHeight="1" s="44"/>
    <row r="882" ht="15.75" customHeight="1" s="44"/>
    <row r="883" ht="15.75" customHeight="1" s="44"/>
    <row r="884" ht="15.75" customHeight="1" s="44"/>
    <row r="885" ht="15.75" customHeight="1" s="44"/>
    <row r="886" ht="15.75" customHeight="1" s="44"/>
    <row r="887" ht="15.75" customHeight="1" s="44"/>
    <row r="888" ht="15.75" customHeight="1" s="44"/>
    <row r="889" ht="15.75" customHeight="1" s="44"/>
    <row r="890" ht="15.75" customHeight="1" s="44"/>
    <row r="891" ht="15.75" customHeight="1" s="44"/>
    <row r="892" ht="15.75" customHeight="1" s="44"/>
    <row r="893" ht="15.75" customHeight="1" s="44"/>
    <row r="894" ht="15.75" customHeight="1" s="44"/>
    <row r="895" ht="15.75" customHeight="1" s="44"/>
    <row r="896" ht="15.75" customHeight="1" s="44"/>
    <row r="897" ht="15.75" customHeight="1" s="44"/>
    <row r="898" ht="15.75" customHeight="1" s="44"/>
    <row r="899" ht="15.75" customHeight="1" s="44"/>
    <row r="900" ht="15.75" customHeight="1" s="44"/>
    <row r="901" ht="15.75" customHeight="1" s="44"/>
    <row r="902" ht="15.75" customHeight="1" s="44"/>
    <row r="903" ht="15.75" customHeight="1" s="44"/>
    <row r="904" ht="15.75" customHeight="1" s="44"/>
    <row r="905" ht="15.75" customHeight="1" s="44"/>
    <row r="906" ht="15.75" customHeight="1" s="44"/>
    <row r="907" ht="15.75" customHeight="1" s="44"/>
    <row r="908" ht="15.75" customHeight="1" s="44"/>
    <row r="909" ht="15.75" customHeight="1" s="44"/>
    <row r="910" ht="15.75" customHeight="1" s="44"/>
    <row r="911" ht="15.75" customHeight="1" s="44"/>
    <row r="912" ht="15.75" customHeight="1" s="44"/>
    <row r="913" ht="15.75" customHeight="1" s="44"/>
    <row r="914" ht="15.75" customHeight="1" s="44"/>
    <row r="915" ht="15.75" customHeight="1" s="44"/>
    <row r="916" ht="15.75" customHeight="1" s="44"/>
    <row r="917" ht="15.75" customHeight="1" s="44"/>
    <row r="918" ht="15.75" customHeight="1" s="44"/>
    <row r="919" ht="15.75" customHeight="1" s="44"/>
    <row r="920" ht="15.75" customHeight="1" s="44"/>
    <row r="921" ht="15.75" customHeight="1" s="44"/>
    <row r="922" ht="15.75" customHeight="1" s="44"/>
    <row r="923" ht="15.75" customHeight="1" s="44"/>
    <row r="924" ht="15.75" customHeight="1" s="44"/>
    <row r="925" ht="15.75" customHeight="1" s="44"/>
    <row r="926" ht="15.75" customHeight="1" s="44"/>
    <row r="927" ht="15.75" customHeight="1" s="44"/>
    <row r="928" ht="15.75" customHeight="1" s="44"/>
    <row r="929" ht="15.75" customHeight="1" s="44"/>
    <row r="930" ht="15.75" customHeight="1" s="44"/>
    <row r="931" ht="15.75" customHeight="1" s="44"/>
    <row r="932" ht="15.75" customHeight="1" s="44"/>
    <row r="933" ht="15.75" customHeight="1" s="44"/>
    <row r="934" ht="15.75" customHeight="1" s="44"/>
    <row r="935" ht="15.75" customHeight="1" s="44"/>
    <row r="936" ht="15.75" customHeight="1" s="44"/>
    <row r="937" ht="15.75" customHeight="1" s="44"/>
    <row r="938" ht="15.75" customHeight="1" s="44"/>
    <row r="939" ht="15.75" customHeight="1" s="44"/>
    <row r="940" ht="15.75" customHeight="1" s="44"/>
    <row r="941" ht="15.75" customHeight="1" s="44"/>
    <row r="942" ht="15.75" customHeight="1" s="44"/>
    <row r="943" ht="15.75" customHeight="1" s="44"/>
    <row r="944" ht="15.75" customHeight="1" s="44"/>
    <row r="945" ht="15.75" customHeight="1" s="44"/>
    <row r="946" ht="15.75" customHeight="1" s="44"/>
    <row r="947" ht="15.75" customHeight="1" s="44"/>
    <row r="948" ht="15.75" customHeight="1" s="44"/>
    <row r="949" ht="15.75" customHeight="1" s="44"/>
    <row r="950" ht="15.75" customHeight="1" s="44"/>
    <row r="951" ht="15.75" customHeight="1" s="44"/>
    <row r="952" ht="15.75" customHeight="1" s="44"/>
    <row r="953" ht="15.75" customHeight="1" s="44"/>
    <row r="954" ht="15.75" customHeight="1" s="44"/>
    <row r="955" ht="15.75" customHeight="1" s="44"/>
    <row r="956" ht="15.75" customHeight="1" s="44"/>
    <row r="957" ht="15.75" customHeight="1" s="44"/>
    <row r="958" ht="15.75" customHeight="1" s="44"/>
    <row r="959" ht="15.75" customHeight="1" s="44"/>
    <row r="960" ht="15.75" customHeight="1" s="44"/>
    <row r="961" ht="15.75" customHeight="1" s="44"/>
    <row r="962" ht="15.75" customHeight="1" s="44"/>
    <row r="963" ht="15.75" customHeight="1" s="44"/>
    <row r="964" ht="15.75" customHeight="1" s="44"/>
    <row r="965" ht="15.75" customHeight="1" s="44"/>
    <row r="966" ht="15.75" customHeight="1" s="44"/>
    <row r="967" ht="15.75" customHeight="1" s="44"/>
    <row r="968" ht="15.75" customHeight="1" s="44"/>
    <row r="969" ht="15.75" customHeight="1" s="44"/>
    <row r="970" ht="15.75" customHeight="1" s="44"/>
    <row r="971" ht="15.75" customHeight="1" s="44"/>
    <row r="972" ht="15.75" customHeight="1" s="44"/>
    <row r="973" ht="15.75" customHeight="1" s="44"/>
    <row r="974" ht="15.75" customHeight="1" s="44"/>
    <row r="975" ht="15.75" customHeight="1" s="44"/>
    <row r="976" ht="15.75" customHeight="1" s="44"/>
    <row r="977" ht="15.75" customHeight="1" s="44"/>
    <row r="978" ht="15.75" customHeight="1" s="44"/>
    <row r="979" ht="15.75" customHeight="1" s="44"/>
    <row r="980" ht="15.75" customHeight="1" s="44"/>
    <row r="981" ht="15.75" customHeight="1" s="44"/>
    <row r="982" ht="15.75" customHeight="1" s="44"/>
    <row r="983" ht="15.75" customHeight="1" s="44"/>
    <row r="984" ht="15.75" customHeight="1" s="44"/>
    <row r="985" ht="15.75" customHeight="1" s="44"/>
    <row r="986" ht="15.75" customHeight="1" s="44"/>
    <row r="987" ht="15.75" customHeight="1" s="44"/>
    <row r="988" ht="15.75" customHeight="1" s="44"/>
    <row r="989" ht="15.75" customHeight="1" s="44"/>
    <row r="990" ht="15.75" customHeight="1" s="44"/>
    <row r="991" ht="15.75" customHeight="1" s="44"/>
    <row r="992" ht="15.75" customHeight="1" s="44"/>
    <row r="993" ht="15.75" customHeight="1" s="44"/>
    <row r="994" ht="15.75" customHeight="1" s="44"/>
    <row r="995" ht="15.75" customHeight="1" s="44"/>
    <row r="996" ht="15.75" customHeight="1" s="44"/>
    <row r="997" ht="15.75" customHeight="1" s="44"/>
    <row r="998" ht="15.75" customHeight="1" s="44"/>
    <row r="999" ht="15.75" customHeight="1" s="44"/>
    <row r="1000" ht="15.75" customHeight="1" s="44"/>
  </sheetData>
  <mergeCells count="6">
    <mergeCell ref="A4:B4"/>
    <mergeCell ref="A33:B33"/>
    <mergeCell ref="A2:H2"/>
    <mergeCell ref="A14:H14"/>
    <mergeCell ref="A1:H1"/>
    <mergeCell ref="A27:B27"/>
  </mergeCells>
  <dataValidations count="1">
    <dataValidation sqref="C16:C25" showDropDown="0" showInputMessage="0" showErrorMessage="0" allowBlank="0" type="list">
      <formula1>"Credit card,Personal loan,Auto loan,Student loan,Mortgage,Medical debt,Other"</formula1>
    </dataValidation>
  </dataValidations>
  <pageMargins left="0.75" right="0.75" top="1" bottom="1" header="0" footer="0"/>
  <pageSetup orientation="landscape"/>
</worksheet>
</file>

<file path=xl/worksheets/sheet2.xml><?xml version="1.0" encoding="utf-8"?>
<worksheet xmlns="http://schemas.openxmlformats.org/spreadsheetml/2006/main">
  <sheetPr>
    <tabColor rgb="FF556B2F"/>
    <outlinePr summaryBelow="1" summaryRight="1"/>
    <pageSetUpPr/>
  </sheetPr>
  <dimension ref="A1:G15"/>
  <sheetViews>
    <sheetView workbookViewId="0">
      <pane ySplit="5" topLeftCell="A6" activePane="bottomLeft" state="frozen"/>
      <selection pane="bottomLeft" activeCell="B7" sqref="B7"/>
    </sheetView>
  </sheetViews>
  <sheetFormatPr baseColWidth="8" defaultColWidth="14.43" defaultRowHeight="15" customHeight="1"/>
  <cols>
    <col width="8" customWidth="1" style="44" min="1" max="1"/>
    <col width="30" customWidth="1" style="44" min="2" max="2"/>
    <col width="15" customWidth="1" style="44" min="3" max="3"/>
    <col width="10" customWidth="1" style="44" min="4" max="4"/>
    <col width="14" customWidth="1" style="44" min="5" max="5"/>
    <col width="15" customWidth="1" style="44" min="6" max="6"/>
    <col width="52" customWidth="1" style="44" min="7" max="7"/>
    <col width="8.710000000000001" customWidth="1" style="44" min="8" max="26"/>
  </cols>
  <sheetData>
    <row r="1" ht="31.5" customHeight="1" s="44">
      <c r="A1" s="1" t="inlineStr">
        <is>
          <t>Snowball Plan — your attack order</t>
        </is>
      </c>
    </row>
    <row r="2" ht="43.5" customHeight="1" s="44">
      <c r="A2" s="7" t="inlineStr">
        <is>
          <t>The snowball method orders your debts from smallest to largest balance. You pay the minimum on all of them and throw your entire extra payment at the smallest one. When it's paid off, that payment rolls into attacking the next one. Quick wins that keep you motivated.</t>
        </is>
      </c>
    </row>
    <row r="3">
      <c r="A3" s="8" t="inlineStr">
        <is>
          <t>Your extra monthly payment:</t>
        </is>
      </c>
      <c r="B3" s="12">
        <f>'My Debts'!B7</f>
        <v/>
      </c>
      <c r="C3" s="10" t="inlineStr">
        <is>
          <t>(change it on the My Debts tab)</t>
        </is>
      </c>
    </row>
    <row r="4"/>
    <row r="5" ht="27.75" customHeight="1" s="44">
      <c r="A5" s="14" t="inlineStr">
        <is>
          <t>Order</t>
        </is>
      </c>
      <c r="B5" s="14" t="inlineStr">
        <is>
          <t>Debt</t>
        </is>
      </c>
      <c r="C5" s="14" t="inlineStr">
        <is>
          <t>Starting balance</t>
        </is>
      </c>
      <c r="D5" s="14" t="inlineStr">
        <is>
          <t>Rate</t>
        </is>
      </c>
      <c r="E5" s="14" t="inlineStr">
        <is>
          <t>Minimum payment</t>
        </is>
      </c>
      <c r="F5" s="14" t="inlineStr">
        <is>
          <t>Paid off (month)</t>
        </is>
      </c>
      <c r="G5" s="14" t="inlineStr">
        <is>
          <t>Strategy</t>
        </is>
      </c>
    </row>
    <row r="6" ht="25.5" customHeight="1" s="44">
      <c r="A6" s="17" t="n">
        <v>1</v>
      </c>
      <c r="B6" s="19">
        <f t="array" ref="B6">IFERROR(INDEX('My Debts'!$B$16:$B$25,MATCH($A6,'My Debts'!$G$16:$G$25,0)),"")</f>
        <v/>
      </c>
      <c r="C6" s="21">
        <f t="array" ref="C6">IFERROR(INDEX('My Debts'!$D$16:$D$25,MATCH($A6,'My Debts'!$G$16:$G$25,0)),"")</f>
        <v/>
      </c>
      <c r="D6" s="23">
        <f t="array" ref="D6">IFERROR(INDEX('My Debts'!$E$16:$E$25,MATCH($A6,'My Debts'!$G$16:$G$25,0)),"")</f>
        <v/>
      </c>
      <c r="E6" s="21">
        <f t="array" ref="E6">IFERROR(INDEX('My Debts'!$F$16:$F$25,MATCH($A6,'My Debts'!$G$16:$G$25,0)),"")</f>
        <v/>
      </c>
      <c r="F6" s="17">
        <f t="array" ref="F6">IFERROR(INDEX('My Debts'!$H$16:$H$25,MATCH($A6,'My Debts'!$G$16:$G$25,0)),"")</f>
        <v/>
      </c>
      <c r="G6" s="19">
        <f>IF($B6="","",IF($A6=1,"🎯 ATTACK THIS FIRST: pay the minimum + all your extra payment here.","Pay only the minimum until it's your turn."))</f>
        <v/>
      </c>
    </row>
    <row r="7" ht="25.5" customHeight="1" s="44">
      <c r="A7" s="24" t="n">
        <v>2</v>
      </c>
      <c r="B7" s="26">
        <f t="array" ref="B7">IFERROR(INDEX('My Debts'!$B$16:$B$25,MATCH($A7,'My Debts'!$G$16:$G$25,0)),"")</f>
        <v/>
      </c>
      <c r="C7" s="27">
        <f t="array" ref="C7">IFERROR(INDEX('My Debts'!$D$16:$D$25,MATCH($A7,'My Debts'!$G$16:$G$25,0)),"")</f>
        <v/>
      </c>
      <c r="D7" s="29">
        <f t="array" ref="D7">IFERROR(INDEX('My Debts'!$E$16:$E$25,MATCH($A7,'My Debts'!$G$16:$G$25,0)),"")</f>
        <v/>
      </c>
      <c r="E7" s="27">
        <f t="array" ref="E7">IFERROR(INDEX('My Debts'!$F$16:$F$25,MATCH($A7,'My Debts'!$G$16:$G$25,0)),"")</f>
        <v/>
      </c>
      <c r="F7" s="24">
        <f t="array" ref="F7">IFERROR(INDEX('My Debts'!$H$16:$H$25,MATCH($A7,'My Debts'!$G$16:$G$25,0)),"")</f>
        <v/>
      </c>
      <c r="G7" s="26">
        <f>IF($B7="","",IF($A7=1,"🎯 ATTACK THIS FIRST: pay the minimum + all your extra payment here.","Pay only the minimum until it's your turn."))</f>
        <v/>
      </c>
    </row>
    <row r="8" ht="25.5" customHeight="1" s="44">
      <c r="A8" s="17" t="n">
        <v>3</v>
      </c>
      <c r="B8" s="19">
        <f t="array" ref="B8">IFERROR(INDEX('My Debts'!$B$16:$B$25,MATCH($A8,'My Debts'!$G$16:$G$25,0)),"")</f>
        <v/>
      </c>
      <c r="C8" s="21">
        <f t="array" ref="C8">IFERROR(INDEX('My Debts'!$D$16:$D$25,MATCH($A8,'My Debts'!$G$16:$G$25,0)),"")</f>
        <v/>
      </c>
      <c r="D8" s="23">
        <f t="array" ref="D8">IFERROR(INDEX('My Debts'!$E$16:$E$25,MATCH($A8,'My Debts'!$G$16:$G$25,0)),"")</f>
        <v/>
      </c>
      <c r="E8" s="21">
        <f t="array" ref="E8">IFERROR(INDEX('My Debts'!$F$16:$F$25,MATCH($A8,'My Debts'!$G$16:$G$25,0)),"")</f>
        <v/>
      </c>
      <c r="F8" s="17">
        <f t="array" ref="F8">IFERROR(INDEX('My Debts'!$H$16:$H$25,MATCH($A8,'My Debts'!$G$16:$G$25,0)),"")</f>
        <v/>
      </c>
      <c r="G8" s="19">
        <f>IF($B8="","",IF($A8=1,"🎯 ATTACK THIS FIRST: pay the minimum + all your extra payment here.","Pay only the minimum until it's your turn."))</f>
        <v/>
      </c>
    </row>
    <row r="9" ht="25.5" customHeight="1" s="44">
      <c r="A9" s="24" t="n">
        <v>4</v>
      </c>
      <c r="B9" s="26">
        <f t="array" ref="B9">IFERROR(INDEX('My Debts'!$B$16:$B$25,MATCH($A9,'My Debts'!$G$16:$G$25,0)),"")</f>
        <v/>
      </c>
      <c r="C9" s="27">
        <f t="array" ref="C9">IFERROR(INDEX('My Debts'!$D$16:$D$25,MATCH($A9,'My Debts'!$G$16:$G$25,0)),"")</f>
        <v/>
      </c>
      <c r="D9" s="29">
        <f t="array" ref="D9">IFERROR(INDEX('My Debts'!$E$16:$E$25,MATCH($A9,'My Debts'!$G$16:$G$25,0)),"")</f>
        <v/>
      </c>
      <c r="E9" s="27">
        <f t="array" ref="E9">IFERROR(INDEX('My Debts'!$F$16:$F$25,MATCH($A9,'My Debts'!$G$16:$G$25,0)),"")</f>
        <v/>
      </c>
      <c r="F9" s="24">
        <f t="array" ref="F9">IFERROR(INDEX('My Debts'!$H$16:$H$25,MATCH($A9,'My Debts'!$G$16:$G$25,0)),"")</f>
        <v/>
      </c>
      <c r="G9" s="26">
        <f>IF($B9="","",IF($A9=1,"🎯 ATTACK THIS FIRST: pay the minimum + all your extra payment here.","Pay only the minimum until it's your turn."))</f>
        <v/>
      </c>
    </row>
    <row r="10" ht="25.5" customHeight="1" s="44">
      <c r="A10" s="17" t="n">
        <v>5</v>
      </c>
      <c r="B10" s="19">
        <f t="array" ref="B10">IFERROR(INDEX('My Debts'!$B$16:$B$25,MATCH($A10,'My Debts'!$G$16:$G$25,0)),"")</f>
        <v/>
      </c>
      <c r="C10" s="21">
        <f t="array" ref="C10">IFERROR(INDEX('My Debts'!$D$16:$D$25,MATCH($A10,'My Debts'!$G$16:$G$25,0)),"")</f>
        <v/>
      </c>
      <c r="D10" s="23">
        <f t="array" ref="D10">IFERROR(INDEX('My Debts'!$E$16:$E$25,MATCH($A10,'My Debts'!$G$16:$G$25,0)),"")</f>
        <v/>
      </c>
      <c r="E10" s="21">
        <f t="array" ref="E10">IFERROR(INDEX('My Debts'!$F$16:$F$25,MATCH($A10,'My Debts'!$G$16:$G$25,0)),"")</f>
        <v/>
      </c>
      <c r="F10" s="17">
        <f t="array" ref="F10">IFERROR(INDEX('My Debts'!$H$16:$H$25,MATCH($A10,'My Debts'!$G$16:$G$25,0)),"")</f>
        <v/>
      </c>
      <c r="G10" s="19">
        <f>IF($B10="","",IF($A10=1,"🎯 ATTACK THIS FIRST: pay the minimum + all your extra payment here.","Pay only the minimum until it's your turn."))</f>
        <v/>
      </c>
    </row>
    <row r="11" ht="25.5" customHeight="1" s="44">
      <c r="A11" s="24" t="n">
        <v>6</v>
      </c>
      <c r="B11" s="26">
        <f t="array" ref="B11">IFERROR(INDEX('My Debts'!$B$16:$B$25,MATCH($A11,'My Debts'!$G$16:$G$25,0)),"")</f>
        <v/>
      </c>
      <c r="C11" s="27">
        <f t="array" ref="C11">IFERROR(INDEX('My Debts'!$D$16:$D$25,MATCH($A11,'My Debts'!$G$16:$G$25,0)),"")</f>
        <v/>
      </c>
      <c r="D11" s="29">
        <f t="array" ref="D11">IFERROR(INDEX('My Debts'!$E$16:$E$25,MATCH($A11,'My Debts'!$G$16:$G$25,0)),"")</f>
        <v/>
      </c>
      <c r="E11" s="27">
        <f t="array" ref="E11">IFERROR(INDEX('My Debts'!$F$16:$F$25,MATCH($A11,'My Debts'!$G$16:$G$25,0)),"")</f>
        <v/>
      </c>
      <c r="F11" s="24">
        <f t="array" ref="F11">IFERROR(INDEX('My Debts'!$H$16:$H$25,MATCH($A11,'My Debts'!$G$16:$G$25,0)),"")</f>
        <v/>
      </c>
      <c r="G11" s="26">
        <f>IF($B11="","",IF($A11=1,"🎯 ATTACK THIS FIRST: pay the minimum + all your extra payment here.","Pay only the minimum until it's your turn."))</f>
        <v/>
      </c>
    </row>
    <row r="12" ht="25.5" customHeight="1" s="44">
      <c r="A12" s="17" t="n">
        <v>7</v>
      </c>
      <c r="B12" s="19">
        <f t="array" ref="B12">IFERROR(INDEX('My Debts'!$B$16:$B$25,MATCH($A12,'My Debts'!$G$16:$G$25,0)),"")</f>
        <v/>
      </c>
      <c r="C12" s="21">
        <f t="array" ref="C12">IFERROR(INDEX('My Debts'!$D$16:$D$25,MATCH($A12,'My Debts'!$G$16:$G$25,0)),"")</f>
        <v/>
      </c>
      <c r="D12" s="23">
        <f t="array" ref="D12">IFERROR(INDEX('My Debts'!$E$16:$E$25,MATCH($A12,'My Debts'!$G$16:$G$25,0)),"")</f>
        <v/>
      </c>
      <c r="E12" s="21">
        <f t="array" ref="E12">IFERROR(INDEX('My Debts'!$F$16:$F$25,MATCH($A12,'My Debts'!$G$16:$G$25,0)),"")</f>
        <v/>
      </c>
      <c r="F12" s="17">
        <f t="array" ref="F12">IFERROR(INDEX('My Debts'!$H$16:$H$25,MATCH($A12,'My Debts'!$G$16:$G$25,0)),"")</f>
        <v/>
      </c>
      <c r="G12" s="19">
        <f>IF($B12="","",IF($A12=1,"🎯 ATTACK THIS FIRST: pay the minimum + all your extra payment here.","Pay only the minimum until it's your turn."))</f>
        <v/>
      </c>
    </row>
    <row r="13" ht="25.5" customHeight="1" s="44">
      <c r="A13" s="24" t="n">
        <v>8</v>
      </c>
      <c r="B13" s="26">
        <f t="array" ref="B13">IFERROR(INDEX('My Debts'!$B$16:$B$25,MATCH($A13,'My Debts'!$G$16:$G$25,0)),"")</f>
        <v/>
      </c>
      <c r="C13" s="27">
        <f t="array" ref="C13">IFERROR(INDEX('My Debts'!$D$16:$D$25,MATCH($A13,'My Debts'!$G$16:$G$25,0)),"")</f>
        <v/>
      </c>
      <c r="D13" s="29">
        <f t="array" ref="D13">IFERROR(INDEX('My Debts'!$E$16:$E$25,MATCH($A13,'My Debts'!$G$16:$G$25,0)),"")</f>
        <v/>
      </c>
      <c r="E13" s="27">
        <f t="array" ref="E13">IFERROR(INDEX('My Debts'!$F$16:$F$25,MATCH($A13,'My Debts'!$G$16:$G$25,0)),"")</f>
        <v/>
      </c>
      <c r="F13" s="24">
        <f t="array" ref="F13">IFERROR(INDEX('My Debts'!$H$16:$H$25,MATCH($A13,'My Debts'!$G$16:$G$25,0)),"")</f>
        <v/>
      </c>
      <c r="G13" s="26">
        <f>IF($B13="","",IF($A13=1,"🎯 ATTACK THIS FIRST: pay the minimum + all your extra payment here.","Pay only the minimum until it's your turn."))</f>
        <v/>
      </c>
    </row>
    <row r="14" ht="25.5" customHeight="1" s="44">
      <c r="A14" s="17" t="n">
        <v>9</v>
      </c>
      <c r="B14" s="19">
        <f t="array" ref="B14">IFERROR(INDEX('My Debts'!$B$16:$B$25,MATCH($A14,'My Debts'!$G$16:$G$25,0)),"")</f>
        <v/>
      </c>
      <c r="C14" s="21">
        <f t="array" ref="C14">IFERROR(INDEX('My Debts'!$D$16:$D$25,MATCH($A14,'My Debts'!$G$16:$G$25,0)),"")</f>
        <v/>
      </c>
      <c r="D14" s="23">
        <f t="array" ref="D14">IFERROR(INDEX('My Debts'!$E$16:$E$25,MATCH($A14,'My Debts'!$G$16:$G$25,0)),"")</f>
        <v/>
      </c>
      <c r="E14" s="21">
        <f t="array" ref="E14">IFERROR(INDEX('My Debts'!$F$16:$F$25,MATCH($A14,'My Debts'!$G$16:$G$25,0)),"")</f>
        <v/>
      </c>
      <c r="F14" s="17">
        <f t="array" ref="F14">IFERROR(INDEX('My Debts'!$H$16:$H$25,MATCH($A14,'My Debts'!$G$16:$G$25,0)),"")</f>
        <v/>
      </c>
      <c r="G14" s="19">
        <f>IF($B14="","",IF($A14=1,"🎯 ATTACK THIS FIRST: pay the minimum + all your extra payment here.","Pay only the minimum until it's your turn."))</f>
        <v/>
      </c>
    </row>
    <row r="15" ht="25.5" customHeight="1" s="44">
      <c r="A15" s="24" t="n">
        <v>10</v>
      </c>
      <c r="B15" s="26">
        <f t="array" ref="B15">IFERROR(INDEX('My Debts'!$B$16:$B$25,MATCH($A15,'My Debts'!$G$16:$G$25,0)),"")</f>
        <v/>
      </c>
      <c r="C15" s="27">
        <f t="array" ref="C15">IFERROR(INDEX('My Debts'!$D$16:$D$25,MATCH($A15,'My Debts'!$G$16:$G$25,0)),"")</f>
        <v/>
      </c>
      <c r="D15" s="29">
        <f t="array" ref="D15">IFERROR(INDEX('My Debts'!$E$16:$E$25,MATCH($A15,'My Debts'!$G$16:$G$25,0)),"")</f>
        <v/>
      </c>
      <c r="E15" s="27">
        <f t="array" ref="E15">IFERROR(INDEX('My Debts'!$F$16:$F$25,MATCH($A15,'My Debts'!$G$16:$G$25,0)),"")</f>
        <v/>
      </c>
      <c r="F15" s="24">
        <f t="array" ref="F15">IFERROR(INDEX('My Debts'!$H$16:$H$25,MATCH($A15,'My Debts'!$G$16:$G$25,0)),"")</f>
        <v/>
      </c>
      <c r="G15" s="26">
        <f>IF($B15="","",IF($A15=1,"🎯 ATTACK THIS FIRST: pay the minimum + all your extra payment here.","Pay only the minimum until it's your turn."))</f>
        <v/>
      </c>
    </row>
    <row r="21" ht="15.75" customHeight="1" s="44"/>
    <row r="22" ht="15.75" customHeight="1" s="44"/>
    <row r="23" ht="15.75" customHeight="1" s="44"/>
    <row r="24" ht="15.75" customHeight="1" s="44"/>
    <row r="25" ht="15.75" customHeight="1" s="44"/>
    <row r="26" ht="15.75" customHeight="1" s="44"/>
    <row r="27" ht="15.75" customHeight="1" s="44"/>
    <row r="28" ht="15.75" customHeight="1" s="44"/>
    <row r="29" ht="15.75" customHeight="1" s="44"/>
    <row r="30" ht="15.75" customHeight="1" s="44"/>
    <row r="31" ht="15.75" customHeight="1" s="44"/>
    <row r="32" ht="15.75" customHeight="1" s="44"/>
    <row r="33" ht="15.75" customHeight="1" s="44"/>
    <row r="34" ht="15.75" customHeight="1" s="44"/>
    <row r="35" ht="15.75" customHeight="1" s="44"/>
    <row r="36" ht="15.75" customHeight="1" s="44"/>
    <row r="37" ht="15.75" customHeight="1" s="44"/>
    <row r="38" ht="15.75" customHeight="1" s="44"/>
    <row r="39" ht="15.75" customHeight="1" s="44"/>
    <row r="40" ht="15.75" customHeight="1" s="44"/>
    <row r="41" ht="15.75" customHeight="1" s="44"/>
    <row r="42" ht="15.75" customHeight="1" s="44"/>
    <row r="43" ht="15.75" customHeight="1" s="44"/>
    <row r="44" ht="15.75" customHeight="1" s="44"/>
    <row r="45" ht="15.75" customHeight="1" s="44"/>
    <row r="46" ht="15.75" customHeight="1" s="44"/>
    <row r="47" ht="15.75" customHeight="1" s="44"/>
    <row r="48" ht="15.75" customHeight="1" s="44"/>
    <row r="49" ht="15.75" customHeight="1" s="44"/>
    <row r="50" ht="15.75" customHeight="1" s="44"/>
    <row r="51" ht="15.75" customHeight="1" s="44"/>
    <row r="52" ht="15.75" customHeight="1" s="44"/>
    <row r="53" ht="15.75" customHeight="1" s="44"/>
    <row r="54" ht="15.75" customHeight="1" s="44"/>
    <row r="55" ht="15.75" customHeight="1" s="44"/>
    <row r="56" ht="15.75" customHeight="1" s="44"/>
    <row r="57" ht="15.75" customHeight="1" s="44"/>
    <row r="58" ht="15.75" customHeight="1" s="44"/>
    <row r="59" ht="15.75" customHeight="1" s="44"/>
    <row r="60" ht="15.75" customHeight="1" s="44"/>
    <row r="61" ht="15.75" customHeight="1" s="44"/>
    <row r="62" ht="15.75" customHeight="1" s="44"/>
    <row r="63" ht="15.75" customHeight="1" s="44"/>
    <row r="64" ht="15.75" customHeight="1" s="44"/>
    <row r="65" ht="15.75" customHeight="1" s="44"/>
    <row r="66" ht="15.75" customHeight="1" s="44"/>
    <row r="67" ht="15.75" customHeight="1" s="44"/>
    <row r="68" ht="15.75" customHeight="1" s="44"/>
    <row r="69" ht="15.75" customHeight="1" s="44"/>
    <row r="70" ht="15.75" customHeight="1" s="44"/>
    <row r="71" ht="15.75" customHeight="1" s="44"/>
    <row r="72" ht="15.75" customHeight="1" s="44"/>
    <row r="73" ht="15.75" customHeight="1" s="44"/>
    <row r="74" ht="15.75" customHeight="1" s="44"/>
    <row r="75" ht="15.75" customHeight="1" s="44"/>
    <row r="76" ht="15.75" customHeight="1" s="44"/>
    <row r="77" ht="15.75" customHeight="1" s="44"/>
    <row r="78" ht="15.75" customHeight="1" s="44"/>
    <row r="79" ht="15.75" customHeight="1" s="44"/>
    <row r="80" ht="15.75" customHeight="1" s="44"/>
    <row r="81" ht="15.75" customHeight="1" s="44"/>
    <row r="82" ht="15.75" customHeight="1" s="44"/>
    <row r="83" ht="15.75" customHeight="1" s="44"/>
    <row r="84" ht="15.75" customHeight="1" s="44"/>
    <row r="85" ht="15.75" customHeight="1" s="44"/>
    <row r="86" ht="15.75" customHeight="1" s="44"/>
    <row r="87" ht="15.75" customHeight="1" s="44"/>
    <row r="88" ht="15.75" customHeight="1" s="44"/>
    <row r="89" ht="15.75" customHeight="1" s="44"/>
    <row r="90" ht="15.75" customHeight="1" s="44"/>
    <row r="91" ht="15.75" customHeight="1" s="44"/>
    <row r="92" ht="15.75" customHeight="1" s="44"/>
    <row r="93" ht="15.75" customHeight="1" s="44"/>
    <row r="94" ht="15.75" customHeight="1" s="44"/>
    <row r="95" ht="15.75" customHeight="1" s="44"/>
    <row r="96" ht="15.75" customHeight="1" s="44"/>
    <row r="97" ht="15.75" customHeight="1" s="44"/>
    <row r="98" ht="15.75" customHeight="1" s="44"/>
    <row r="99" ht="15.75" customHeight="1" s="44"/>
    <row r="100" ht="15.75" customHeight="1" s="44"/>
    <row r="101" ht="15.75" customHeight="1" s="44"/>
    <row r="102" ht="15.75" customHeight="1" s="44"/>
    <row r="103" ht="15.75" customHeight="1" s="44"/>
    <row r="104" ht="15.75" customHeight="1" s="44"/>
    <row r="105" ht="15.75" customHeight="1" s="44"/>
    <row r="106" ht="15.75" customHeight="1" s="44"/>
    <row r="107" ht="15.75" customHeight="1" s="44"/>
    <row r="108" ht="15.75" customHeight="1" s="44"/>
    <row r="109" ht="15.75" customHeight="1" s="44"/>
    <row r="110" ht="15.75" customHeight="1" s="44"/>
    <row r="111" ht="15.75" customHeight="1" s="44"/>
    <row r="112" ht="15.75" customHeight="1" s="44"/>
    <row r="113" ht="15.75" customHeight="1" s="44"/>
    <row r="114" ht="15.75" customHeight="1" s="44"/>
    <row r="115" ht="15.75" customHeight="1" s="44"/>
    <row r="116" ht="15.75" customHeight="1" s="44"/>
    <row r="117" ht="15.75" customHeight="1" s="44"/>
    <row r="118" ht="15.75" customHeight="1" s="44"/>
    <row r="119" ht="15.75" customHeight="1" s="44"/>
    <row r="120" ht="15.75" customHeight="1" s="44"/>
    <row r="121" ht="15.75" customHeight="1" s="44"/>
    <row r="122" ht="15.75" customHeight="1" s="44"/>
    <row r="123" ht="15.75" customHeight="1" s="44"/>
    <row r="124" ht="15.75" customHeight="1" s="44"/>
    <row r="125" ht="15.75" customHeight="1" s="44"/>
    <row r="126" ht="15.75" customHeight="1" s="44"/>
    <row r="127" ht="15.75" customHeight="1" s="44"/>
    <row r="128" ht="15.75" customHeight="1" s="44"/>
    <row r="129" ht="15.75" customHeight="1" s="44"/>
    <row r="130" ht="15.75" customHeight="1" s="44"/>
    <row r="131" ht="15.75" customHeight="1" s="44"/>
    <row r="132" ht="15.75" customHeight="1" s="44"/>
    <row r="133" ht="15.75" customHeight="1" s="44"/>
    <row r="134" ht="15.75" customHeight="1" s="44"/>
    <row r="135" ht="15.75" customHeight="1" s="44"/>
    <row r="136" ht="15.75" customHeight="1" s="44"/>
    <row r="137" ht="15.75" customHeight="1" s="44"/>
    <row r="138" ht="15.75" customHeight="1" s="44"/>
    <row r="139" ht="15.75" customHeight="1" s="44"/>
    <row r="140" ht="15.75" customHeight="1" s="44"/>
    <row r="141" ht="15.75" customHeight="1" s="44"/>
    <row r="142" ht="15.75" customHeight="1" s="44"/>
    <row r="143" ht="15.75" customHeight="1" s="44"/>
    <row r="144" ht="15.75" customHeight="1" s="44"/>
    <row r="145" ht="15.75" customHeight="1" s="44"/>
    <row r="146" ht="15.75" customHeight="1" s="44"/>
    <row r="147" ht="15.75" customHeight="1" s="44"/>
    <row r="148" ht="15.75" customHeight="1" s="44"/>
    <row r="149" ht="15.75" customHeight="1" s="44"/>
    <row r="150" ht="15.75" customHeight="1" s="44"/>
    <row r="151" ht="15.75" customHeight="1" s="44"/>
    <row r="152" ht="15.75" customHeight="1" s="44"/>
    <row r="153" ht="15.75" customHeight="1" s="44"/>
    <row r="154" ht="15.75" customHeight="1" s="44"/>
    <row r="155" ht="15.75" customHeight="1" s="44"/>
    <row r="156" ht="15.75" customHeight="1" s="44"/>
    <row r="157" ht="15.75" customHeight="1" s="44"/>
    <row r="158" ht="15.75" customHeight="1" s="44"/>
    <row r="159" ht="15.75" customHeight="1" s="44"/>
    <row r="160" ht="15.75" customHeight="1" s="44"/>
    <row r="161" ht="15.75" customHeight="1" s="44"/>
    <row r="162" ht="15.75" customHeight="1" s="44"/>
    <row r="163" ht="15.75" customHeight="1" s="44"/>
    <row r="164" ht="15.75" customHeight="1" s="44"/>
    <row r="165" ht="15.75" customHeight="1" s="44"/>
    <row r="166" ht="15.75" customHeight="1" s="44"/>
    <row r="167" ht="15.75" customHeight="1" s="44"/>
    <row r="168" ht="15.75" customHeight="1" s="44"/>
    <row r="169" ht="15.75" customHeight="1" s="44"/>
    <row r="170" ht="15.75" customHeight="1" s="44"/>
    <row r="171" ht="15.75" customHeight="1" s="44"/>
    <row r="172" ht="15.75" customHeight="1" s="44"/>
    <row r="173" ht="15.75" customHeight="1" s="44"/>
    <row r="174" ht="15.75" customHeight="1" s="44"/>
    <row r="175" ht="15.75" customHeight="1" s="44"/>
    <row r="176" ht="15.75" customHeight="1" s="44"/>
    <row r="177" ht="15.75" customHeight="1" s="44"/>
    <row r="178" ht="15.75" customHeight="1" s="44"/>
    <row r="179" ht="15.75" customHeight="1" s="44"/>
    <row r="180" ht="15.75" customHeight="1" s="44"/>
    <row r="181" ht="15.75" customHeight="1" s="44"/>
    <row r="182" ht="15.75" customHeight="1" s="44"/>
    <row r="183" ht="15.75" customHeight="1" s="44"/>
    <row r="184" ht="15.75" customHeight="1" s="44"/>
    <row r="185" ht="15.75" customHeight="1" s="44"/>
    <row r="186" ht="15.75" customHeight="1" s="44"/>
    <row r="187" ht="15.75" customHeight="1" s="44"/>
    <row r="188" ht="15.75" customHeight="1" s="44"/>
    <row r="189" ht="15.75" customHeight="1" s="44"/>
    <row r="190" ht="15.75" customHeight="1" s="44"/>
    <row r="191" ht="15.75" customHeight="1" s="44"/>
    <row r="192" ht="15.75" customHeight="1" s="44"/>
    <row r="193" ht="15.75" customHeight="1" s="44"/>
    <row r="194" ht="15.75" customHeight="1" s="44"/>
    <row r="195" ht="15.75" customHeight="1" s="44"/>
    <row r="196" ht="15.75" customHeight="1" s="44"/>
    <row r="197" ht="15.75" customHeight="1" s="44"/>
    <row r="198" ht="15.75" customHeight="1" s="44"/>
    <row r="199" ht="15.75" customHeight="1" s="44"/>
    <row r="200" ht="15.75" customHeight="1" s="44"/>
    <row r="201" ht="15.75" customHeight="1" s="44"/>
    <row r="202" ht="15.75" customHeight="1" s="44"/>
    <row r="203" ht="15.75" customHeight="1" s="44"/>
    <row r="204" ht="15.75" customHeight="1" s="44"/>
    <row r="205" ht="15.75" customHeight="1" s="44"/>
    <row r="206" ht="15.75" customHeight="1" s="44"/>
    <row r="207" ht="15.75" customHeight="1" s="44"/>
    <row r="208" ht="15.75" customHeight="1" s="44"/>
    <row r="209" ht="15.75" customHeight="1" s="44"/>
    <row r="210" ht="15.75" customHeight="1" s="44"/>
    <row r="211" ht="15.75" customHeight="1" s="44"/>
    <row r="212" ht="15.75" customHeight="1" s="44"/>
    <row r="213" ht="15.75" customHeight="1" s="44"/>
    <row r="214" ht="15.75" customHeight="1" s="44"/>
    <row r="215" ht="15.75" customHeight="1" s="44"/>
    <row r="216" ht="15.75" customHeight="1" s="44"/>
    <row r="217" ht="15.75" customHeight="1" s="44"/>
    <row r="218" ht="15.75" customHeight="1" s="44"/>
    <row r="219" ht="15.75" customHeight="1" s="44"/>
    <row r="220" ht="15.75" customHeight="1" s="44"/>
    <row r="221" ht="15.75" customHeight="1" s="44"/>
    <row r="222" ht="15.75" customHeight="1" s="44"/>
    <row r="223" ht="15.75" customHeight="1" s="44"/>
    <row r="224" ht="15.75" customHeight="1" s="44"/>
    <row r="225" ht="15.75" customHeight="1" s="44"/>
    <row r="226" ht="15.75" customHeight="1" s="44"/>
    <row r="227" ht="15.75" customHeight="1" s="44"/>
    <row r="228" ht="15.75" customHeight="1" s="44"/>
    <row r="229" ht="15.75" customHeight="1" s="44"/>
    <row r="230" ht="15.75" customHeight="1" s="44"/>
    <row r="231" ht="15.75" customHeight="1" s="44"/>
    <row r="232" ht="15.75" customHeight="1" s="44"/>
    <row r="233" ht="15.75" customHeight="1" s="44"/>
    <row r="234" ht="15.75" customHeight="1" s="44"/>
    <row r="235" ht="15.75" customHeight="1" s="44"/>
    <row r="236" ht="15.75" customHeight="1" s="44"/>
    <row r="237" ht="15.75" customHeight="1" s="44"/>
    <row r="238" ht="15.75" customHeight="1" s="44"/>
    <row r="239" ht="15.75" customHeight="1" s="44"/>
    <row r="240" ht="15.75" customHeight="1" s="44"/>
    <row r="241" ht="15.75" customHeight="1" s="44"/>
    <row r="242" ht="15.75" customHeight="1" s="44"/>
    <row r="243" ht="15.75" customHeight="1" s="44"/>
    <row r="244" ht="15.75" customHeight="1" s="44"/>
    <row r="245" ht="15.75" customHeight="1" s="44"/>
    <row r="246" ht="15.75" customHeight="1" s="44"/>
    <row r="247" ht="15.75" customHeight="1" s="44"/>
    <row r="248" ht="15.75" customHeight="1" s="44"/>
    <row r="249" ht="15.75" customHeight="1" s="44"/>
    <row r="250" ht="15.75" customHeight="1" s="44"/>
    <row r="251" ht="15.75" customHeight="1" s="44"/>
    <row r="252" ht="15.75" customHeight="1" s="44"/>
    <row r="253" ht="15.75" customHeight="1" s="44"/>
    <row r="254" ht="15.75" customHeight="1" s="44"/>
    <row r="255" ht="15.75" customHeight="1" s="44"/>
    <row r="256" ht="15.75" customHeight="1" s="44"/>
    <row r="257" ht="15.75" customHeight="1" s="44"/>
    <row r="258" ht="15.75" customHeight="1" s="44"/>
    <row r="259" ht="15.75" customHeight="1" s="44"/>
    <row r="260" ht="15.75" customHeight="1" s="44"/>
    <row r="261" ht="15.75" customHeight="1" s="44"/>
    <row r="262" ht="15.75" customHeight="1" s="44"/>
    <row r="263" ht="15.75" customHeight="1" s="44"/>
    <row r="264" ht="15.75" customHeight="1" s="44"/>
    <row r="265" ht="15.75" customHeight="1" s="44"/>
    <row r="266" ht="15.75" customHeight="1" s="44"/>
    <row r="267" ht="15.75" customHeight="1" s="44"/>
    <row r="268" ht="15.75" customHeight="1" s="44"/>
    <row r="269" ht="15.75" customHeight="1" s="44"/>
    <row r="270" ht="15.75" customHeight="1" s="44"/>
    <row r="271" ht="15.75" customHeight="1" s="44"/>
    <row r="272" ht="15.75" customHeight="1" s="44"/>
    <row r="273" ht="15.75" customHeight="1" s="44"/>
    <row r="274" ht="15.75" customHeight="1" s="44"/>
    <row r="275" ht="15.75" customHeight="1" s="44"/>
    <row r="276" ht="15.75" customHeight="1" s="44"/>
    <row r="277" ht="15.75" customHeight="1" s="44"/>
    <row r="278" ht="15.75" customHeight="1" s="44"/>
    <row r="279" ht="15.75" customHeight="1" s="44"/>
    <row r="280" ht="15.75" customHeight="1" s="44"/>
    <row r="281" ht="15.75" customHeight="1" s="44"/>
    <row r="282" ht="15.75" customHeight="1" s="44"/>
    <row r="283" ht="15.75" customHeight="1" s="44"/>
    <row r="284" ht="15.75" customHeight="1" s="44"/>
    <row r="285" ht="15.75" customHeight="1" s="44"/>
    <row r="286" ht="15.75" customHeight="1" s="44"/>
    <row r="287" ht="15.75" customHeight="1" s="44"/>
    <row r="288" ht="15.75" customHeight="1" s="44"/>
    <row r="289" ht="15.75" customHeight="1" s="44"/>
    <row r="290" ht="15.75" customHeight="1" s="44"/>
    <row r="291" ht="15.75" customHeight="1" s="44"/>
    <row r="292" ht="15.75" customHeight="1" s="44"/>
    <row r="293" ht="15.75" customHeight="1" s="44"/>
    <row r="294" ht="15.75" customHeight="1" s="44"/>
    <row r="295" ht="15.75" customHeight="1" s="44"/>
    <row r="296" ht="15.75" customHeight="1" s="44"/>
    <row r="297" ht="15.75" customHeight="1" s="44"/>
    <row r="298" ht="15.75" customHeight="1" s="44"/>
    <row r="299" ht="15.75" customHeight="1" s="44"/>
    <row r="300" ht="15.75" customHeight="1" s="44"/>
    <row r="301" ht="15.75" customHeight="1" s="44"/>
    <row r="302" ht="15.75" customHeight="1" s="44"/>
    <row r="303" ht="15.75" customHeight="1" s="44"/>
    <row r="304" ht="15.75" customHeight="1" s="44"/>
    <row r="305" ht="15.75" customHeight="1" s="44"/>
    <row r="306" ht="15.75" customHeight="1" s="44"/>
    <row r="307" ht="15.75" customHeight="1" s="44"/>
    <row r="308" ht="15.75" customHeight="1" s="44"/>
    <row r="309" ht="15.75" customHeight="1" s="44"/>
    <row r="310" ht="15.75" customHeight="1" s="44"/>
    <row r="311" ht="15.75" customHeight="1" s="44"/>
    <row r="312" ht="15.75" customHeight="1" s="44"/>
    <row r="313" ht="15.75" customHeight="1" s="44"/>
    <row r="314" ht="15.75" customHeight="1" s="44"/>
    <row r="315" ht="15.75" customHeight="1" s="44"/>
    <row r="316" ht="15.75" customHeight="1" s="44"/>
    <row r="317" ht="15.75" customHeight="1" s="44"/>
    <row r="318" ht="15.75" customHeight="1" s="44"/>
    <row r="319" ht="15.75" customHeight="1" s="44"/>
    <row r="320" ht="15.75" customHeight="1" s="44"/>
    <row r="321" ht="15.75" customHeight="1" s="44"/>
    <row r="322" ht="15.75" customHeight="1" s="44"/>
    <row r="323" ht="15.75" customHeight="1" s="44"/>
    <row r="324" ht="15.75" customHeight="1" s="44"/>
    <row r="325" ht="15.75" customHeight="1" s="44"/>
    <row r="326" ht="15.75" customHeight="1" s="44"/>
    <row r="327" ht="15.75" customHeight="1" s="44"/>
    <row r="328" ht="15.75" customHeight="1" s="44"/>
    <row r="329" ht="15.75" customHeight="1" s="44"/>
    <row r="330" ht="15.75" customHeight="1" s="44"/>
    <row r="331" ht="15.75" customHeight="1" s="44"/>
    <row r="332" ht="15.75" customHeight="1" s="44"/>
    <row r="333" ht="15.75" customHeight="1" s="44"/>
    <row r="334" ht="15.75" customHeight="1" s="44"/>
    <row r="335" ht="15.75" customHeight="1" s="44"/>
    <row r="336" ht="15.75" customHeight="1" s="44"/>
    <row r="337" ht="15.75" customHeight="1" s="44"/>
    <row r="338" ht="15.75" customHeight="1" s="44"/>
    <row r="339" ht="15.75" customHeight="1" s="44"/>
    <row r="340" ht="15.75" customHeight="1" s="44"/>
    <row r="341" ht="15.75" customHeight="1" s="44"/>
    <row r="342" ht="15.75" customHeight="1" s="44"/>
    <row r="343" ht="15.75" customHeight="1" s="44"/>
    <row r="344" ht="15.75" customHeight="1" s="44"/>
    <row r="345" ht="15.75" customHeight="1" s="44"/>
    <row r="346" ht="15.75" customHeight="1" s="44"/>
    <row r="347" ht="15.75" customHeight="1" s="44"/>
    <row r="348" ht="15.75" customHeight="1" s="44"/>
    <row r="349" ht="15.75" customHeight="1" s="44"/>
    <row r="350" ht="15.75" customHeight="1" s="44"/>
    <row r="351" ht="15.75" customHeight="1" s="44"/>
    <row r="352" ht="15.75" customHeight="1" s="44"/>
    <row r="353" ht="15.75" customHeight="1" s="44"/>
    <row r="354" ht="15.75" customHeight="1" s="44"/>
    <row r="355" ht="15.75" customHeight="1" s="44"/>
    <row r="356" ht="15.75" customHeight="1" s="44"/>
    <row r="357" ht="15.75" customHeight="1" s="44"/>
    <row r="358" ht="15.75" customHeight="1" s="44"/>
    <row r="359" ht="15.75" customHeight="1" s="44"/>
    <row r="360" ht="15.75" customHeight="1" s="44"/>
    <row r="361" ht="15.75" customHeight="1" s="44"/>
    <row r="362" ht="15.75" customHeight="1" s="44"/>
    <row r="363" ht="15.75" customHeight="1" s="44"/>
    <row r="364" ht="15.75" customHeight="1" s="44"/>
    <row r="365" ht="15.75" customHeight="1" s="44"/>
    <row r="366" ht="15.75" customHeight="1" s="44"/>
    <row r="367" ht="15.75" customHeight="1" s="44"/>
    <row r="368" ht="15.75" customHeight="1" s="44"/>
    <row r="369" ht="15.75" customHeight="1" s="44"/>
    <row r="370" ht="15.75" customHeight="1" s="44"/>
    <row r="371" ht="15.75" customHeight="1" s="44"/>
    <row r="372" ht="15.75" customHeight="1" s="44"/>
    <row r="373" ht="15.75" customHeight="1" s="44"/>
    <row r="374" ht="15.75" customHeight="1" s="44"/>
    <row r="375" ht="15.75" customHeight="1" s="44"/>
    <row r="376" ht="15.75" customHeight="1" s="44"/>
    <row r="377" ht="15.75" customHeight="1" s="44"/>
    <row r="378" ht="15.75" customHeight="1" s="44"/>
    <row r="379" ht="15.75" customHeight="1" s="44"/>
    <row r="380" ht="15.75" customHeight="1" s="44"/>
    <row r="381" ht="15.75" customHeight="1" s="44"/>
    <row r="382" ht="15.75" customHeight="1" s="44"/>
    <row r="383" ht="15.75" customHeight="1" s="44"/>
    <row r="384" ht="15.75" customHeight="1" s="44"/>
    <row r="385" ht="15.75" customHeight="1" s="44"/>
    <row r="386" ht="15.75" customHeight="1" s="44"/>
    <row r="387" ht="15.75" customHeight="1" s="44"/>
    <row r="388" ht="15.75" customHeight="1" s="44"/>
    <row r="389" ht="15.75" customHeight="1" s="44"/>
    <row r="390" ht="15.75" customHeight="1" s="44"/>
    <row r="391" ht="15.75" customHeight="1" s="44"/>
    <row r="392" ht="15.75" customHeight="1" s="44"/>
    <row r="393" ht="15.75" customHeight="1" s="44"/>
    <row r="394" ht="15.75" customHeight="1" s="44"/>
    <row r="395" ht="15.75" customHeight="1" s="44"/>
    <row r="396" ht="15.75" customHeight="1" s="44"/>
    <row r="397" ht="15.75" customHeight="1" s="44"/>
    <row r="398" ht="15.75" customHeight="1" s="44"/>
    <row r="399" ht="15.75" customHeight="1" s="44"/>
    <row r="400" ht="15.75" customHeight="1" s="44"/>
    <row r="401" ht="15.75" customHeight="1" s="44"/>
    <row r="402" ht="15.75" customHeight="1" s="44"/>
    <row r="403" ht="15.75" customHeight="1" s="44"/>
    <row r="404" ht="15.75" customHeight="1" s="44"/>
    <row r="405" ht="15.75" customHeight="1" s="44"/>
    <row r="406" ht="15.75" customHeight="1" s="44"/>
    <row r="407" ht="15.75" customHeight="1" s="44"/>
    <row r="408" ht="15.75" customHeight="1" s="44"/>
    <row r="409" ht="15.75" customHeight="1" s="44"/>
    <row r="410" ht="15.75" customHeight="1" s="44"/>
    <row r="411" ht="15.75" customHeight="1" s="44"/>
    <row r="412" ht="15.75" customHeight="1" s="44"/>
    <row r="413" ht="15.75" customHeight="1" s="44"/>
    <row r="414" ht="15.75" customHeight="1" s="44"/>
    <row r="415" ht="15.75" customHeight="1" s="44"/>
    <row r="416" ht="15.75" customHeight="1" s="44"/>
    <row r="417" ht="15.75" customHeight="1" s="44"/>
    <row r="418" ht="15.75" customHeight="1" s="44"/>
    <row r="419" ht="15.75" customHeight="1" s="44"/>
    <row r="420" ht="15.75" customHeight="1" s="44"/>
    <row r="421" ht="15.75" customHeight="1" s="44"/>
    <row r="422" ht="15.75" customHeight="1" s="44"/>
    <row r="423" ht="15.75" customHeight="1" s="44"/>
    <row r="424" ht="15.75" customHeight="1" s="44"/>
    <row r="425" ht="15.75" customHeight="1" s="44"/>
    <row r="426" ht="15.75" customHeight="1" s="44"/>
    <row r="427" ht="15.75" customHeight="1" s="44"/>
    <row r="428" ht="15.75" customHeight="1" s="44"/>
    <row r="429" ht="15.75" customHeight="1" s="44"/>
    <row r="430" ht="15.75" customHeight="1" s="44"/>
    <row r="431" ht="15.75" customHeight="1" s="44"/>
    <row r="432" ht="15.75" customHeight="1" s="44"/>
    <row r="433" ht="15.75" customHeight="1" s="44"/>
    <row r="434" ht="15.75" customHeight="1" s="44"/>
    <row r="435" ht="15.75" customHeight="1" s="44"/>
    <row r="436" ht="15.75" customHeight="1" s="44"/>
    <row r="437" ht="15.75" customHeight="1" s="44"/>
    <row r="438" ht="15.75" customHeight="1" s="44"/>
    <row r="439" ht="15.75" customHeight="1" s="44"/>
    <row r="440" ht="15.75" customHeight="1" s="44"/>
    <row r="441" ht="15.75" customHeight="1" s="44"/>
    <row r="442" ht="15.75" customHeight="1" s="44"/>
    <row r="443" ht="15.75" customHeight="1" s="44"/>
    <row r="444" ht="15.75" customHeight="1" s="44"/>
    <row r="445" ht="15.75" customHeight="1" s="44"/>
    <row r="446" ht="15.75" customHeight="1" s="44"/>
    <row r="447" ht="15.75" customHeight="1" s="44"/>
    <row r="448" ht="15.75" customHeight="1" s="44"/>
    <row r="449" ht="15.75" customHeight="1" s="44"/>
    <row r="450" ht="15.75" customHeight="1" s="44"/>
    <row r="451" ht="15.75" customHeight="1" s="44"/>
    <row r="452" ht="15.75" customHeight="1" s="44"/>
    <row r="453" ht="15.75" customHeight="1" s="44"/>
    <row r="454" ht="15.75" customHeight="1" s="44"/>
    <row r="455" ht="15.75" customHeight="1" s="44"/>
    <row r="456" ht="15.75" customHeight="1" s="44"/>
    <row r="457" ht="15.75" customHeight="1" s="44"/>
    <row r="458" ht="15.75" customHeight="1" s="44"/>
    <row r="459" ht="15.75" customHeight="1" s="44"/>
    <row r="460" ht="15.75" customHeight="1" s="44"/>
    <row r="461" ht="15.75" customHeight="1" s="44"/>
    <row r="462" ht="15.75" customHeight="1" s="44"/>
    <row r="463" ht="15.75" customHeight="1" s="44"/>
    <row r="464" ht="15.75" customHeight="1" s="44"/>
    <row r="465" ht="15.75" customHeight="1" s="44"/>
    <row r="466" ht="15.75" customHeight="1" s="44"/>
    <row r="467" ht="15.75" customHeight="1" s="44"/>
    <row r="468" ht="15.75" customHeight="1" s="44"/>
    <row r="469" ht="15.75" customHeight="1" s="44"/>
    <row r="470" ht="15.75" customHeight="1" s="44"/>
    <row r="471" ht="15.75" customHeight="1" s="44"/>
    <row r="472" ht="15.75" customHeight="1" s="44"/>
    <row r="473" ht="15.75" customHeight="1" s="44"/>
    <row r="474" ht="15.75" customHeight="1" s="44"/>
    <row r="475" ht="15.75" customHeight="1" s="44"/>
    <row r="476" ht="15.75" customHeight="1" s="44"/>
    <row r="477" ht="15.75" customHeight="1" s="44"/>
    <row r="478" ht="15.75" customHeight="1" s="44"/>
    <row r="479" ht="15.75" customHeight="1" s="44"/>
    <row r="480" ht="15.75" customHeight="1" s="44"/>
    <row r="481" ht="15.75" customHeight="1" s="44"/>
    <row r="482" ht="15.75" customHeight="1" s="44"/>
    <row r="483" ht="15.75" customHeight="1" s="44"/>
    <row r="484" ht="15.75" customHeight="1" s="44"/>
    <row r="485" ht="15.75" customHeight="1" s="44"/>
    <row r="486" ht="15.75" customHeight="1" s="44"/>
    <row r="487" ht="15.75" customHeight="1" s="44"/>
    <row r="488" ht="15.75" customHeight="1" s="44"/>
    <row r="489" ht="15.75" customHeight="1" s="44"/>
    <row r="490" ht="15.75" customHeight="1" s="44"/>
    <row r="491" ht="15.75" customHeight="1" s="44"/>
    <row r="492" ht="15.75" customHeight="1" s="44"/>
    <row r="493" ht="15.75" customHeight="1" s="44"/>
    <row r="494" ht="15.75" customHeight="1" s="44"/>
    <row r="495" ht="15.75" customHeight="1" s="44"/>
    <row r="496" ht="15.75" customHeight="1" s="44"/>
    <row r="497" ht="15.75" customHeight="1" s="44"/>
    <row r="498" ht="15.75" customHeight="1" s="44"/>
    <row r="499" ht="15.75" customHeight="1" s="44"/>
    <row r="500" ht="15.75" customHeight="1" s="44"/>
    <row r="501" ht="15.75" customHeight="1" s="44"/>
    <row r="502" ht="15.75" customHeight="1" s="44"/>
    <row r="503" ht="15.75" customHeight="1" s="44"/>
    <row r="504" ht="15.75" customHeight="1" s="44"/>
    <row r="505" ht="15.75" customHeight="1" s="44"/>
    <row r="506" ht="15.75" customHeight="1" s="44"/>
    <row r="507" ht="15.75" customHeight="1" s="44"/>
    <row r="508" ht="15.75" customHeight="1" s="44"/>
    <row r="509" ht="15.75" customHeight="1" s="44"/>
    <row r="510" ht="15.75" customHeight="1" s="44"/>
    <row r="511" ht="15.75" customHeight="1" s="44"/>
    <row r="512" ht="15.75" customHeight="1" s="44"/>
    <row r="513" ht="15.75" customHeight="1" s="44"/>
    <row r="514" ht="15.75" customHeight="1" s="44"/>
    <row r="515" ht="15.75" customHeight="1" s="44"/>
    <row r="516" ht="15.75" customHeight="1" s="44"/>
    <row r="517" ht="15.75" customHeight="1" s="44"/>
    <row r="518" ht="15.75" customHeight="1" s="44"/>
    <row r="519" ht="15.75" customHeight="1" s="44"/>
    <row r="520" ht="15.75" customHeight="1" s="44"/>
    <row r="521" ht="15.75" customHeight="1" s="44"/>
    <row r="522" ht="15.75" customHeight="1" s="44"/>
    <row r="523" ht="15.75" customHeight="1" s="44"/>
    <row r="524" ht="15.75" customHeight="1" s="44"/>
    <row r="525" ht="15.75" customHeight="1" s="44"/>
    <row r="526" ht="15.75" customHeight="1" s="44"/>
    <row r="527" ht="15.75" customHeight="1" s="44"/>
    <row r="528" ht="15.75" customHeight="1" s="44"/>
    <row r="529" ht="15.75" customHeight="1" s="44"/>
    <row r="530" ht="15.75" customHeight="1" s="44"/>
    <row r="531" ht="15.75" customHeight="1" s="44"/>
    <row r="532" ht="15.75" customHeight="1" s="44"/>
    <row r="533" ht="15.75" customHeight="1" s="44"/>
    <row r="534" ht="15.75" customHeight="1" s="44"/>
    <row r="535" ht="15.75" customHeight="1" s="44"/>
    <row r="536" ht="15.75" customHeight="1" s="44"/>
    <row r="537" ht="15.75" customHeight="1" s="44"/>
    <row r="538" ht="15.75" customHeight="1" s="44"/>
    <row r="539" ht="15.75" customHeight="1" s="44"/>
    <row r="540" ht="15.75" customHeight="1" s="44"/>
    <row r="541" ht="15.75" customHeight="1" s="44"/>
    <row r="542" ht="15.75" customHeight="1" s="44"/>
    <row r="543" ht="15.75" customHeight="1" s="44"/>
    <row r="544" ht="15.75" customHeight="1" s="44"/>
    <row r="545" ht="15.75" customHeight="1" s="44"/>
    <row r="546" ht="15.75" customHeight="1" s="44"/>
    <row r="547" ht="15.75" customHeight="1" s="44"/>
    <row r="548" ht="15.75" customHeight="1" s="44"/>
    <row r="549" ht="15.75" customHeight="1" s="44"/>
    <row r="550" ht="15.75" customHeight="1" s="44"/>
    <row r="551" ht="15.75" customHeight="1" s="44"/>
    <row r="552" ht="15.75" customHeight="1" s="44"/>
    <row r="553" ht="15.75" customHeight="1" s="44"/>
    <row r="554" ht="15.75" customHeight="1" s="44"/>
    <row r="555" ht="15.75" customHeight="1" s="44"/>
    <row r="556" ht="15.75" customHeight="1" s="44"/>
    <row r="557" ht="15.75" customHeight="1" s="44"/>
    <row r="558" ht="15.75" customHeight="1" s="44"/>
    <row r="559" ht="15.75" customHeight="1" s="44"/>
    <row r="560" ht="15.75" customHeight="1" s="44"/>
    <row r="561" ht="15.75" customHeight="1" s="44"/>
    <row r="562" ht="15.75" customHeight="1" s="44"/>
    <row r="563" ht="15.75" customHeight="1" s="44"/>
    <row r="564" ht="15.75" customHeight="1" s="44"/>
    <row r="565" ht="15.75" customHeight="1" s="44"/>
    <row r="566" ht="15.75" customHeight="1" s="44"/>
    <row r="567" ht="15.75" customHeight="1" s="44"/>
    <row r="568" ht="15.75" customHeight="1" s="44"/>
    <row r="569" ht="15.75" customHeight="1" s="44"/>
    <row r="570" ht="15.75" customHeight="1" s="44"/>
    <row r="571" ht="15.75" customHeight="1" s="44"/>
    <row r="572" ht="15.75" customHeight="1" s="44"/>
    <row r="573" ht="15.75" customHeight="1" s="44"/>
    <row r="574" ht="15.75" customHeight="1" s="44"/>
    <row r="575" ht="15.75" customHeight="1" s="44"/>
    <row r="576" ht="15.75" customHeight="1" s="44"/>
    <row r="577" ht="15.75" customHeight="1" s="44"/>
    <row r="578" ht="15.75" customHeight="1" s="44"/>
    <row r="579" ht="15.75" customHeight="1" s="44"/>
    <row r="580" ht="15.75" customHeight="1" s="44"/>
    <row r="581" ht="15.75" customHeight="1" s="44"/>
    <row r="582" ht="15.75" customHeight="1" s="44"/>
    <row r="583" ht="15.75" customHeight="1" s="44"/>
    <row r="584" ht="15.75" customHeight="1" s="44"/>
    <row r="585" ht="15.75" customHeight="1" s="44"/>
    <row r="586" ht="15.75" customHeight="1" s="44"/>
    <row r="587" ht="15.75" customHeight="1" s="44"/>
    <row r="588" ht="15.75" customHeight="1" s="44"/>
    <row r="589" ht="15.75" customHeight="1" s="44"/>
    <row r="590" ht="15.75" customHeight="1" s="44"/>
    <row r="591" ht="15.75" customHeight="1" s="44"/>
    <row r="592" ht="15.75" customHeight="1" s="44"/>
    <row r="593" ht="15.75" customHeight="1" s="44"/>
    <row r="594" ht="15.75" customHeight="1" s="44"/>
    <row r="595" ht="15.75" customHeight="1" s="44"/>
    <row r="596" ht="15.75" customHeight="1" s="44"/>
    <row r="597" ht="15.75" customHeight="1" s="44"/>
    <row r="598" ht="15.75" customHeight="1" s="44"/>
    <row r="599" ht="15.75" customHeight="1" s="44"/>
    <row r="600" ht="15.75" customHeight="1" s="44"/>
    <row r="601" ht="15.75" customHeight="1" s="44"/>
    <row r="602" ht="15.75" customHeight="1" s="44"/>
    <row r="603" ht="15.75" customHeight="1" s="44"/>
    <row r="604" ht="15.75" customHeight="1" s="44"/>
    <row r="605" ht="15.75" customHeight="1" s="44"/>
    <row r="606" ht="15.75" customHeight="1" s="44"/>
    <row r="607" ht="15.75" customHeight="1" s="44"/>
    <row r="608" ht="15.75" customHeight="1" s="44"/>
    <row r="609" ht="15.75" customHeight="1" s="44"/>
    <row r="610" ht="15.75" customHeight="1" s="44"/>
    <row r="611" ht="15.75" customHeight="1" s="44"/>
    <row r="612" ht="15.75" customHeight="1" s="44"/>
    <row r="613" ht="15.75" customHeight="1" s="44"/>
    <row r="614" ht="15.75" customHeight="1" s="44"/>
    <row r="615" ht="15.75" customHeight="1" s="44"/>
    <row r="616" ht="15.75" customHeight="1" s="44"/>
    <row r="617" ht="15.75" customHeight="1" s="44"/>
    <row r="618" ht="15.75" customHeight="1" s="44"/>
    <row r="619" ht="15.75" customHeight="1" s="44"/>
    <row r="620" ht="15.75" customHeight="1" s="44"/>
    <row r="621" ht="15.75" customHeight="1" s="44"/>
    <row r="622" ht="15.75" customHeight="1" s="44"/>
    <row r="623" ht="15.75" customHeight="1" s="44"/>
    <row r="624" ht="15.75" customHeight="1" s="44"/>
    <row r="625" ht="15.75" customHeight="1" s="44"/>
    <row r="626" ht="15.75" customHeight="1" s="44"/>
    <row r="627" ht="15.75" customHeight="1" s="44"/>
    <row r="628" ht="15.75" customHeight="1" s="44"/>
    <row r="629" ht="15.75" customHeight="1" s="44"/>
    <row r="630" ht="15.75" customHeight="1" s="44"/>
    <row r="631" ht="15.75" customHeight="1" s="44"/>
    <row r="632" ht="15.75" customHeight="1" s="44"/>
    <row r="633" ht="15.75" customHeight="1" s="44"/>
    <row r="634" ht="15.75" customHeight="1" s="44"/>
    <row r="635" ht="15.75" customHeight="1" s="44"/>
    <row r="636" ht="15.75" customHeight="1" s="44"/>
    <row r="637" ht="15.75" customHeight="1" s="44"/>
    <row r="638" ht="15.75" customHeight="1" s="44"/>
    <row r="639" ht="15.75" customHeight="1" s="44"/>
    <row r="640" ht="15.75" customHeight="1" s="44"/>
    <row r="641" ht="15.75" customHeight="1" s="44"/>
    <row r="642" ht="15.75" customHeight="1" s="44"/>
    <row r="643" ht="15.75" customHeight="1" s="44"/>
    <row r="644" ht="15.75" customHeight="1" s="44"/>
    <row r="645" ht="15.75" customHeight="1" s="44"/>
    <row r="646" ht="15.75" customHeight="1" s="44"/>
    <row r="647" ht="15.75" customHeight="1" s="44"/>
    <row r="648" ht="15.75" customHeight="1" s="44"/>
    <row r="649" ht="15.75" customHeight="1" s="44"/>
    <row r="650" ht="15.75" customHeight="1" s="44"/>
    <row r="651" ht="15.75" customHeight="1" s="44"/>
    <row r="652" ht="15.75" customHeight="1" s="44"/>
    <row r="653" ht="15.75" customHeight="1" s="44"/>
    <row r="654" ht="15.75" customHeight="1" s="44"/>
    <row r="655" ht="15.75" customHeight="1" s="44"/>
    <row r="656" ht="15.75" customHeight="1" s="44"/>
    <row r="657" ht="15.75" customHeight="1" s="44"/>
    <row r="658" ht="15.75" customHeight="1" s="44"/>
    <row r="659" ht="15.75" customHeight="1" s="44"/>
    <row r="660" ht="15.75" customHeight="1" s="44"/>
    <row r="661" ht="15.75" customHeight="1" s="44"/>
    <row r="662" ht="15.75" customHeight="1" s="44"/>
    <row r="663" ht="15.75" customHeight="1" s="44"/>
    <row r="664" ht="15.75" customHeight="1" s="44"/>
    <row r="665" ht="15.75" customHeight="1" s="44"/>
    <row r="666" ht="15.75" customHeight="1" s="44"/>
    <row r="667" ht="15.75" customHeight="1" s="44"/>
    <row r="668" ht="15.75" customHeight="1" s="44"/>
    <row r="669" ht="15.75" customHeight="1" s="44"/>
    <row r="670" ht="15.75" customHeight="1" s="44"/>
    <row r="671" ht="15.75" customHeight="1" s="44"/>
    <row r="672" ht="15.75" customHeight="1" s="44"/>
    <row r="673" ht="15.75" customHeight="1" s="44"/>
    <row r="674" ht="15.75" customHeight="1" s="44"/>
    <row r="675" ht="15.75" customHeight="1" s="44"/>
    <row r="676" ht="15.75" customHeight="1" s="44"/>
    <row r="677" ht="15.75" customHeight="1" s="44"/>
    <row r="678" ht="15.75" customHeight="1" s="44"/>
    <row r="679" ht="15.75" customHeight="1" s="44"/>
    <row r="680" ht="15.75" customHeight="1" s="44"/>
    <row r="681" ht="15.75" customHeight="1" s="44"/>
    <row r="682" ht="15.75" customHeight="1" s="44"/>
    <row r="683" ht="15.75" customHeight="1" s="44"/>
    <row r="684" ht="15.75" customHeight="1" s="44"/>
    <row r="685" ht="15.75" customHeight="1" s="44"/>
    <row r="686" ht="15.75" customHeight="1" s="44"/>
    <row r="687" ht="15.75" customHeight="1" s="44"/>
    <row r="688" ht="15.75" customHeight="1" s="44"/>
    <row r="689" ht="15.75" customHeight="1" s="44"/>
    <row r="690" ht="15.75" customHeight="1" s="44"/>
    <row r="691" ht="15.75" customHeight="1" s="44"/>
    <row r="692" ht="15.75" customHeight="1" s="44"/>
    <row r="693" ht="15.75" customHeight="1" s="44"/>
    <row r="694" ht="15.75" customHeight="1" s="44"/>
    <row r="695" ht="15.75" customHeight="1" s="44"/>
    <row r="696" ht="15.75" customHeight="1" s="44"/>
    <row r="697" ht="15.75" customHeight="1" s="44"/>
    <row r="698" ht="15.75" customHeight="1" s="44"/>
    <row r="699" ht="15.75" customHeight="1" s="44"/>
    <row r="700" ht="15.75" customHeight="1" s="44"/>
    <row r="701" ht="15.75" customHeight="1" s="44"/>
    <row r="702" ht="15.75" customHeight="1" s="44"/>
    <row r="703" ht="15.75" customHeight="1" s="44"/>
    <row r="704" ht="15.75" customHeight="1" s="44"/>
    <row r="705" ht="15.75" customHeight="1" s="44"/>
    <row r="706" ht="15.75" customHeight="1" s="44"/>
    <row r="707" ht="15.75" customHeight="1" s="44"/>
    <row r="708" ht="15.75" customHeight="1" s="44"/>
    <row r="709" ht="15.75" customHeight="1" s="44"/>
    <row r="710" ht="15.75" customHeight="1" s="44"/>
    <row r="711" ht="15.75" customHeight="1" s="44"/>
    <row r="712" ht="15.75" customHeight="1" s="44"/>
    <row r="713" ht="15.75" customHeight="1" s="44"/>
    <row r="714" ht="15.75" customHeight="1" s="44"/>
    <row r="715" ht="15.75" customHeight="1" s="44"/>
    <row r="716" ht="15.75" customHeight="1" s="44"/>
    <row r="717" ht="15.75" customHeight="1" s="44"/>
    <row r="718" ht="15.75" customHeight="1" s="44"/>
    <row r="719" ht="15.75" customHeight="1" s="44"/>
    <row r="720" ht="15.75" customHeight="1" s="44"/>
    <row r="721" ht="15.75" customHeight="1" s="44"/>
    <row r="722" ht="15.75" customHeight="1" s="44"/>
    <row r="723" ht="15.75" customHeight="1" s="44"/>
    <row r="724" ht="15.75" customHeight="1" s="44"/>
    <row r="725" ht="15.75" customHeight="1" s="44"/>
    <row r="726" ht="15.75" customHeight="1" s="44"/>
    <row r="727" ht="15.75" customHeight="1" s="44"/>
    <row r="728" ht="15.75" customHeight="1" s="44"/>
    <row r="729" ht="15.75" customHeight="1" s="44"/>
    <row r="730" ht="15.75" customHeight="1" s="44"/>
    <row r="731" ht="15.75" customHeight="1" s="44"/>
    <row r="732" ht="15.75" customHeight="1" s="44"/>
    <row r="733" ht="15.75" customHeight="1" s="44"/>
    <row r="734" ht="15.75" customHeight="1" s="44"/>
    <row r="735" ht="15.75" customHeight="1" s="44"/>
    <row r="736" ht="15.75" customHeight="1" s="44"/>
    <row r="737" ht="15.75" customHeight="1" s="44"/>
    <row r="738" ht="15.75" customHeight="1" s="44"/>
    <row r="739" ht="15.75" customHeight="1" s="44"/>
    <row r="740" ht="15.75" customHeight="1" s="44"/>
    <row r="741" ht="15.75" customHeight="1" s="44"/>
    <row r="742" ht="15.75" customHeight="1" s="44"/>
    <row r="743" ht="15.75" customHeight="1" s="44"/>
    <row r="744" ht="15.75" customHeight="1" s="44"/>
    <row r="745" ht="15.75" customHeight="1" s="44"/>
    <row r="746" ht="15.75" customHeight="1" s="44"/>
    <row r="747" ht="15.75" customHeight="1" s="44"/>
    <row r="748" ht="15.75" customHeight="1" s="44"/>
    <row r="749" ht="15.75" customHeight="1" s="44"/>
    <row r="750" ht="15.75" customHeight="1" s="44"/>
    <row r="751" ht="15.75" customHeight="1" s="44"/>
    <row r="752" ht="15.75" customHeight="1" s="44"/>
    <row r="753" ht="15.75" customHeight="1" s="44"/>
    <row r="754" ht="15.75" customHeight="1" s="44"/>
    <row r="755" ht="15.75" customHeight="1" s="44"/>
    <row r="756" ht="15.75" customHeight="1" s="44"/>
    <row r="757" ht="15.75" customHeight="1" s="44"/>
    <row r="758" ht="15.75" customHeight="1" s="44"/>
    <row r="759" ht="15.75" customHeight="1" s="44"/>
    <row r="760" ht="15.75" customHeight="1" s="44"/>
    <row r="761" ht="15.75" customHeight="1" s="44"/>
    <row r="762" ht="15.75" customHeight="1" s="44"/>
    <row r="763" ht="15.75" customHeight="1" s="44"/>
    <row r="764" ht="15.75" customHeight="1" s="44"/>
    <row r="765" ht="15.75" customHeight="1" s="44"/>
    <row r="766" ht="15.75" customHeight="1" s="44"/>
    <row r="767" ht="15.75" customHeight="1" s="44"/>
    <row r="768" ht="15.75" customHeight="1" s="44"/>
    <row r="769" ht="15.75" customHeight="1" s="44"/>
    <row r="770" ht="15.75" customHeight="1" s="44"/>
    <row r="771" ht="15.75" customHeight="1" s="44"/>
    <row r="772" ht="15.75" customHeight="1" s="44"/>
    <row r="773" ht="15.75" customHeight="1" s="44"/>
    <row r="774" ht="15.75" customHeight="1" s="44"/>
    <row r="775" ht="15.75" customHeight="1" s="44"/>
    <row r="776" ht="15.75" customHeight="1" s="44"/>
    <row r="777" ht="15.75" customHeight="1" s="44"/>
    <row r="778" ht="15.75" customHeight="1" s="44"/>
    <row r="779" ht="15.75" customHeight="1" s="44"/>
    <row r="780" ht="15.75" customHeight="1" s="44"/>
    <row r="781" ht="15.75" customHeight="1" s="44"/>
    <row r="782" ht="15.75" customHeight="1" s="44"/>
    <row r="783" ht="15.75" customHeight="1" s="44"/>
    <row r="784" ht="15.75" customHeight="1" s="44"/>
    <row r="785" ht="15.75" customHeight="1" s="44"/>
    <row r="786" ht="15.75" customHeight="1" s="44"/>
    <row r="787" ht="15.75" customHeight="1" s="44"/>
    <row r="788" ht="15.75" customHeight="1" s="44"/>
    <row r="789" ht="15.75" customHeight="1" s="44"/>
    <row r="790" ht="15.75" customHeight="1" s="44"/>
    <row r="791" ht="15.75" customHeight="1" s="44"/>
    <row r="792" ht="15.75" customHeight="1" s="44"/>
    <row r="793" ht="15.75" customHeight="1" s="44"/>
    <row r="794" ht="15.75" customHeight="1" s="44"/>
    <row r="795" ht="15.75" customHeight="1" s="44"/>
    <row r="796" ht="15.75" customHeight="1" s="44"/>
    <row r="797" ht="15.75" customHeight="1" s="44"/>
    <row r="798" ht="15.75" customHeight="1" s="44"/>
    <row r="799" ht="15.75" customHeight="1" s="44"/>
    <row r="800" ht="15.75" customHeight="1" s="44"/>
    <row r="801" ht="15.75" customHeight="1" s="44"/>
    <row r="802" ht="15.75" customHeight="1" s="44"/>
    <row r="803" ht="15.75" customHeight="1" s="44"/>
    <row r="804" ht="15.75" customHeight="1" s="44"/>
    <row r="805" ht="15.75" customHeight="1" s="44"/>
    <row r="806" ht="15.75" customHeight="1" s="44"/>
    <row r="807" ht="15.75" customHeight="1" s="44"/>
    <row r="808" ht="15.75" customHeight="1" s="44"/>
    <row r="809" ht="15.75" customHeight="1" s="44"/>
    <row r="810" ht="15.75" customHeight="1" s="44"/>
    <row r="811" ht="15.75" customHeight="1" s="44"/>
    <row r="812" ht="15.75" customHeight="1" s="44"/>
    <row r="813" ht="15.75" customHeight="1" s="44"/>
    <row r="814" ht="15.75" customHeight="1" s="44"/>
    <row r="815" ht="15.75" customHeight="1" s="44"/>
    <row r="816" ht="15.75" customHeight="1" s="44"/>
    <row r="817" ht="15.75" customHeight="1" s="44"/>
    <row r="818" ht="15.75" customHeight="1" s="44"/>
    <row r="819" ht="15.75" customHeight="1" s="44"/>
    <row r="820" ht="15.75" customHeight="1" s="44"/>
    <row r="821" ht="15.75" customHeight="1" s="44"/>
    <row r="822" ht="15.75" customHeight="1" s="44"/>
    <row r="823" ht="15.75" customHeight="1" s="44"/>
    <row r="824" ht="15.75" customHeight="1" s="44"/>
    <row r="825" ht="15.75" customHeight="1" s="44"/>
    <row r="826" ht="15.75" customHeight="1" s="44"/>
    <row r="827" ht="15.75" customHeight="1" s="44"/>
    <row r="828" ht="15.75" customHeight="1" s="44"/>
    <row r="829" ht="15.75" customHeight="1" s="44"/>
    <row r="830" ht="15.75" customHeight="1" s="44"/>
    <row r="831" ht="15.75" customHeight="1" s="44"/>
    <row r="832" ht="15.75" customHeight="1" s="44"/>
    <row r="833" ht="15.75" customHeight="1" s="44"/>
    <row r="834" ht="15.75" customHeight="1" s="44"/>
    <row r="835" ht="15.75" customHeight="1" s="44"/>
    <row r="836" ht="15.75" customHeight="1" s="44"/>
    <row r="837" ht="15.75" customHeight="1" s="44"/>
    <row r="838" ht="15.75" customHeight="1" s="44"/>
    <row r="839" ht="15.75" customHeight="1" s="44"/>
    <row r="840" ht="15.75" customHeight="1" s="44"/>
    <row r="841" ht="15.75" customHeight="1" s="44"/>
    <row r="842" ht="15.75" customHeight="1" s="44"/>
    <row r="843" ht="15.75" customHeight="1" s="44"/>
    <row r="844" ht="15.75" customHeight="1" s="44"/>
    <row r="845" ht="15.75" customHeight="1" s="44"/>
    <row r="846" ht="15.75" customHeight="1" s="44"/>
    <row r="847" ht="15.75" customHeight="1" s="44"/>
    <row r="848" ht="15.75" customHeight="1" s="44"/>
    <row r="849" ht="15.75" customHeight="1" s="44"/>
    <row r="850" ht="15.75" customHeight="1" s="44"/>
    <row r="851" ht="15.75" customHeight="1" s="44"/>
    <row r="852" ht="15.75" customHeight="1" s="44"/>
    <row r="853" ht="15.75" customHeight="1" s="44"/>
    <row r="854" ht="15.75" customHeight="1" s="44"/>
    <row r="855" ht="15.75" customHeight="1" s="44"/>
    <row r="856" ht="15.75" customHeight="1" s="44"/>
    <row r="857" ht="15.75" customHeight="1" s="44"/>
    <row r="858" ht="15.75" customHeight="1" s="44"/>
    <row r="859" ht="15.75" customHeight="1" s="44"/>
    <row r="860" ht="15.75" customHeight="1" s="44"/>
    <row r="861" ht="15.75" customHeight="1" s="44"/>
    <row r="862" ht="15.75" customHeight="1" s="44"/>
    <row r="863" ht="15.75" customHeight="1" s="44"/>
    <row r="864" ht="15.75" customHeight="1" s="44"/>
    <row r="865" ht="15.75" customHeight="1" s="44"/>
    <row r="866" ht="15.75" customHeight="1" s="44"/>
    <row r="867" ht="15.75" customHeight="1" s="44"/>
    <row r="868" ht="15.75" customHeight="1" s="44"/>
    <row r="869" ht="15.75" customHeight="1" s="44"/>
    <row r="870" ht="15.75" customHeight="1" s="44"/>
    <row r="871" ht="15.75" customHeight="1" s="44"/>
    <row r="872" ht="15.75" customHeight="1" s="44"/>
    <row r="873" ht="15.75" customHeight="1" s="44"/>
    <row r="874" ht="15.75" customHeight="1" s="44"/>
    <row r="875" ht="15.75" customHeight="1" s="44"/>
    <row r="876" ht="15.75" customHeight="1" s="44"/>
    <row r="877" ht="15.75" customHeight="1" s="44"/>
    <row r="878" ht="15.75" customHeight="1" s="44"/>
    <row r="879" ht="15.75" customHeight="1" s="44"/>
    <row r="880" ht="15.75" customHeight="1" s="44"/>
    <row r="881" ht="15.75" customHeight="1" s="44"/>
    <row r="882" ht="15.75" customHeight="1" s="44"/>
    <row r="883" ht="15.75" customHeight="1" s="44"/>
    <row r="884" ht="15.75" customHeight="1" s="44"/>
    <row r="885" ht="15.75" customHeight="1" s="44"/>
    <row r="886" ht="15.75" customHeight="1" s="44"/>
    <row r="887" ht="15.75" customHeight="1" s="44"/>
    <row r="888" ht="15.75" customHeight="1" s="44"/>
    <row r="889" ht="15.75" customHeight="1" s="44"/>
    <row r="890" ht="15.75" customHeight="1" s="44"/>
    <row r="891" ht="15.75" customHeight="1" s="44"/>
    <row r="892" ht="15.75" customHeight="1" s="44"/>
    <row r="893" ht="15.75" customHeight="1" s="44"/>
    <row r="894" ht="15.75" customHeight="1" s="44"/>
    <row r="895" ht="15.75" customHeight="1" s="44"/>
    <row r="896" ht="15.75" customHeight="1" s="44"/>
    <row r="897" ht="15.75" customHeight="1" s="44"/>
    <row r="898" ht="15.75" customHeight="1" s="44"/>
    <row r="899" ht="15.75" customHeight="1" s="44"/>
    <row r="900" ht="15.75" customHeight="1" s="44"/>
    <row r="901" ht="15.75" customHeight="1" s="44"/>
    <row r="902" ht="15.75" customHeight="1" s="44"/>
    <row r="903" ht="15.75" customHeight="1" s="44"/>
    <row r="904" ht="15.75" customHeight="1" s="44"/>
    <row r="905" ht="15.75" customHeight="1" s="44"/>
    <row r="906" ht="15.75" customHeight="1" s="44"/>
    <row r="907" ht="15.75" customHeight="1" s="44"/>
    <row r="908" ht="15.75" customHeight="1" s="44"/>
    <row r="909" ht="15.75" customHeight="1" s="44"/>
    <row r="910" ht="15.75" customHeight="1" s="44"/>
    <row r="911" ht="15.75" customHeight="1" s="44"/>
    <row r="912" ht="15.75" customHeight="1" s="44"/>
    <row r="913" ht="15.75" customHeight="1" s="44"/>
    <row r="914" ht="15.75" customHeight="1" s="44"/>
    <row r="915" ht="15.75" customHeight="1" s="44"/>
    <row r="916" ht="15.75" customHeight="1" s="44"/>
    <row r="917" ht="15.75" customHeight="1" s="44"/>
    <row r="918" ht="15.75" customHeight="1" s="44"/>
    <row r="919" ht="15.75" customHeight="1" s="44"/>
    <row r="920" ht="15.75" customHeight="1" s="44"/>
    <row r="921" ht="15.75" customHeight="1" s="44"/>
    <row r="922" ht="15.75" customHeight="1" s="44"/>
    <row r="923" ht="15.75" customHeight="1" s="44"/>
    <row r="924" ht="15.75" customHeight="1" s="44"/>
    <row r="925" ht="15.75" customHeight="1" s="44"/>
    <row r="926" ht="15.75" customHeight="1" s="44"/>
    <row r="927" ht="15.75" customHeight="1" s="44"/>
    <row r="928" ht="15.75" customHeight="1" s="44"/>
    <row r="929" ht="15.75" customHeight="1" s="44"/>
    <row r="930" ht="15.75" customHeight="1" s="44"/>
    <row r="931" ht="15.75" customHeight="1" s="44"/>
    <row r="932" ht="15.75" customHeight="1" s="44"/>
    <row r="933" ht="15.75" customHeight="1" s="44"/>
    <row r="934" ht="15.75" customHeight="1" s="44"/>
    <row r="935" ht="15.75" customHeight="1" s="44"/>
    <row r="936" ht="15.75" customHeight="1" s="44"/>
    <row r="937" ht="15.75" customHeight="1" s="44"/>
    <row r="938" ht="15.75" customHeight="1" s="44"/>
    <row r="939" ht="15.75" customHeight="1" s="44"/>
    <row r="940" ht="15.75" customHeight="1" s="44"/>
    <row r="941" ht="15.75" customHeight="1" s="44"/>
    <row r="942" ht="15.75" customHeight="1" s="44"/>
    <row r="943" ht="15.75" customHeight="1" s="44"/>
    <row r="944" ht="15.75" customHeight="1" s="44"/>
    <row r="945" ht="15.75" customHeight="1" s="44"/>
    <row r="946" ht="15.75" customHeight="1" s="44"/>
    <row r="947" ht="15.75" customHeight="1" s="44"/>
    <row r="948" ht="15.75" customHeight="1" s="44"/>
    <row r="949" ht="15.75" customHeight="1" s="44"/>
    <row r="950" ht="15.75" customHeight="1" s="44"/>
    <row r="951" ht="15.75" customHeight="1" s="44"/>
    <row r="952" ht="15.75" customHeight="1" s="44"/>
    <row r="953" ht="15.75" customHeight="1" s="44"/>
    <row r="954" ht="15.75" customHeight="1" s="44"/>
    <row r="955" ht="15.75" customHeight="1" s="44"/>
    <row r="956" ht="15.75" customHeight="1" s="44"/>
    <row r="957" ht="15.75" customHeight="1" s="44"/>
    <row r="958" ht="15.75" customHeight="1" s="44"/>
    <row r="959" ht="15.75" customHeight="1" s="44"/>
    <row r="960" ht="15.75" customHeight="1" s="44"/>
    <row r="961" ht="15.75" customHeight="1" s="44"/>
    <row r="962" ht="15.75" customHeight="1" s="44"/>
    <row r="963" ht="15.75" customHeight="1" s="44"/>
    <row r="964" ht="15.75" customHeight="1" s="44"/>
    <row r="965" ht="15.75" customHeight="1" s="44"/>
    <row r="966" ht="15.75" customHeight="1" s="44"/>
    <row r="967" ht="15.75" customHeight="1" s="44"/>
    <row r="968" ht="15.75" customHeight="1" s="44"/>
    <row r="969" ht="15.75" customHeight="1" s="44"/>
    <row r="970" ht="15.75" customHeight="1" s="44"/>
    <row r="971" ht="15.75" customHeight="1" s="44"/>
    <row r="972" ht="15.75" customHeight="1" s="44"/>
    <row r="973" ht="15.75" customHeight="1" s="44"/>
    <row r="974" ht="15.75" customHeight="1" s="44"/>
    <row r="975" ht="15.75" customHeight="1" s="44"/>
    <row r="976" ht="15.75" customHeight="1" s="44"/>
    <row r="977" ht="15.75" customHeight="1" s="44"/>
    <row r="978" ht="15.75" customHeight="1" s="44"/>
    <row r="979" ht="15.75" customHeight="1" s="44"/>
    <row r="980" ht="15.75" customHeight="1" s="44"/>
    <row r="981" ht="15.75" customHeight="1" s="44"/>
    <row r="982" ht="15.75" customHeight="1" s="44"/>
    <row r="983" ht="15.75" customHeight="1" s="44"/>
    <row r="984" ht="15.75" customHeight="1" s="44"/>
    <row r="985" ht="15.75" customHeight="1" s="44"/>
    <row r="986" ht="15.75" customHeight="1" s="44"/>
    <row r="987" ht="15.75" customHeight="1" s="44"/>
    <row r="988" ht="15.75" customHeight="1" s="44"/>
    <row r="989" ht="15.75" customHeight="1" s="44"/>
    <row r="990" ht="15.75" customHeight="1" s="44"/>
    <row r="991" ht="15.75" customHeight="1" s="44"/>
    <row r="992" ht="15.75" customHeight="1" s="44"/>
    <row r="993" ht="15.75" customHeight="1" s="44"/>
    <row r="994" ht="15.75" customHeight="1" s="44"/>
    <row r="995" ht="15.75" customHeight="1" s="44"/>
    <row r="996" ht="15.75" customHeight="1" s="44"/>
    <row r="997" ht="15.75" customHeight="1" s="44"/>
    <row r="998" ht="15.75" customHeight="1" s="44"/>
    <row r="999" ht="15.75" customHeight="1" s="44"/>
    <row r="1000" ht="15.75" customHeight="1" s="44"/>
  </sheetData>
  <mergeCells count="2">
    <mergeCell ref="A2:G2"/>
    <mergeCell ref="A1:G1"/>
  </mergeCells>
  <pageMargins left="0.75" right="0.75" top="1" bottom="1" header="0" footer="0"/>
  <pageSetup orientation="landscape"/>
</worksheet>
</file>

<file path=xl/worksheets/sheet3.xml><?xml version="1.0" encoding="utf-8"?>
<worksheet xmlns="http://schemas.openxmlformats.org/spreadsheetml/2006/main">
  <sheetPr>
    <tabColor rgb="FF556B2F"/>
    <outlinePr summaryBelow="1" summaryRight="1"/>
    <pageSetUpPr/>
  </sheetPr>
  <dimension ref="A1:Y65"/>
  <sheetViews>
    <sheetView workbookViewId="0">
      <pane ySplit="5" topLeftCell="A6" activePane="bottomLeft" state="frozen"/>
      <selection pane="bottomLeft" activeCell="B7" sqref="B7"/>
    </sheetView>
  </sheetViews>
  <sheetFormatPr baseColWidth="8" defaultColWidth="14.43" defaultRowHeight="15" customHeight="1"/>
  <cols>
    <col width="7" customWidth="1" style="44" min="1" max="1"/>
    <col width="15" customWidth="1" style="44" min="2" max="2"/>
    <col width="14" customWidth="1" style="44" min="3" max="23"/>
    <col width="15" customWidth="1" style="44" min="24" max="24"/>
    <col width="7" customWidth="1" style="44" min="25" max="25"/>
    <col width="8.710000000000001" customWidth="1" style="44" min="26" max="26"/>
  </cols>
  <sheetData>
    <row r="1" ht="31.5" customHeight="1" s="44">
      <c r="A1" s="1" t="inlineStr">
        <is>
          <t>Payment Schedule — month-by-month simulation (snowball method)</t>
        </is>
      </c>
    </row>
    <row r="2">
      <c r="A2" s="10" t="inlineStr">
        <is>
          <t>Monthly rate</t>
        </is>
      </c>
      <c r="C2" s="16">
        <f t="array" ref="C2">IFERROR(INDEX('My Debts'!$E$16:$E$25,MATCH(1,'My Debts'!$G$16:$G$25,0))/12,0)</f>
        <v/>
      </c>
      <c r="D2" s="16">
        <f t="array" ref="D2">IFERROR(INDEX('My Debts'!$E$16:$E$25,MATCH(2,'My Debts'!$G$16:$G$25,0))/12,0)</f>
        <v/>
      </c>
      <c r="E2" s="16">
        <f t="array" ref="E2">IFERROR(INDEX('My Debts'!$E$16:$E$25,MATCH(3,'My Debts'!$G$16:$G$25,0))/12,0)</f>
        <v/>
      </c>
      <c r="F2" s="16">
        <f t="array" ref="F2">IFERROR(INDEX('My Debts'!$E$16:$E$25,MATCH(4,'My Debts'!$G$16:$G$25,0))/12,0)</f>
        <v/>
      </c>
      <c r="G2" s="16">
        <f t="array" ref="G2">IFERROR(INDEX('My Debts'!$E$16:$E$25,MATCH(5,'My Debts'!$G$16:$G$25,0))/12,0)</f>
        <v/>
      </c>
      <c r="H2" s="16">
        <f t="array" ref="H2">IFERROR(INDEX('My Debts'!$E$16:$E$25,MATCH(6,'My Debts'!$G$16:$G$25,0))/12,0)</f>
        <v/>
      </c>
      <c r="I2" s="16">
        <f t="array" ref="I2">IFERROR(INDEX('My Debts'!$E$16:$E$25,MATCH(7,'My Debts'!$G$16:$G$25,0))/12,0)</f>
        <v/>
      </c>
      <c r="J2" s="16">
        <f t="array" ref="J2">IFERROR(INDEX('My Debts'!$E$16:$E$25,MATCH(8,'My Debts'!$G$16:$G$25,0))/12,0)</f>
        <v/>
      </c>
      <c r="K2" s="16">
        <f t="array" ref="K2">IFERROR(INDEX('My Debts'!$E$16:$E$25,MATCH(9,'My Debts'!$G$16:$G$25,0))/12,0)</f>
        <v/>
      </c>
      <c r="L2" s="16">
        <f t="array" ref="L2">IFERROR(INDEX('My Debts'!$E$16:$E$25,MATCH(10,'My Debts'!$G$16:$G$25,0))/12,0)</f>
        <v/>
      </c>
    </row>
    <row r="3">
      <c r="A3" s="10" t="inlineStr">
        <is>
          <t>Parameters</t>
        </is>
      </c>
      <c r="C3" s="37">
        <f t="array" ref="C3">IFERROR(INDEX('My Debts'!$D$16:$D$25,MATCH(1,'My Debts'!$G$16:$G$25,0)),0)</f>
        <v/>
      </c>
      <c r="D3" s="37">
        <f t="array" ref="D3">IFERROR(INDEX('My Debts'!$D$16:$D$25,MATCH(2,'My Debts'!$G$16:$G$25,0)),0)</f>
        <v/>
      </c>
      <c r="E3" s="37">
        <f t="array" ref="E3">IFERROR(INDEX('My Debts'!$D$16:$D$25,MATCH(3,'My Debts'!$G$16:$G$25,0)),0)</f>
        <v/>
      </c>
      <c r="F3" s="37">
        <f t="array" ref="F3">IFERROR(INDEX('My Debts'!$D$16:$D$25,MATCH(4,'My Debts'!$G$16:$G$25,0)),0)</f>
        <v/>
      </c>
      <c r="G3" s="37">
        <f t="array" ref="G3">IFERROR(INDEX('My Debts'!$D$16:$D$25,MATCH(5,'My Debts'!$G$16:$G$25,0)),0)</f>
        <v/>
      </c>
      <c r="H3" s="37">
        <f t="array" ref="H3">IFERROR(INDEX('My Debts'!$D$16:$D$25,MATCH(6,'My Debts'!$G$16:$G$25,0)),0)</f>
        <v/>
      </c>
      <c r="I3" s="37">
        <f t="array" ref="I3">IFERROR(INDEX('My Debts'!$D$16:$D$25,MATCH(7,'My Debts'!$G$16:$G$25,0)),0)</f>
        <v/>
      </c>
      <c r="J3" s="37">
        <f t="array" ref="J3">IFERROR(INDEX('My Debts'!$D$16:$D$25,MATCH(8,'My Debts'!$G$16:$G$25,0)),0)</f>
        <v/>
      </c>
      <c r="K3" s="37">
        <f t="array" ref="K3">IFERROR(INDEX('My Debts'!$D$16:$D$25,MATCH(9,'My Debts'!$G$16:$G$25,0)),0)</f>
        <v/>
      </c>
      <c r="L3" s="37">
        <f t="array" ref="L3">IFERROR(INDEX('My Debts'!$D$16:$D$25,MATCH(10,'My Debts'!$G$16:$G$25,0)),0)</f>
        <v/>
      </c>
      <c r="M3" s="37">
        <f t="array" ref="M3">IFERROR(INDEX('My Debts'!$F$16:$F$25,MATCH(1,'My Debts'!$G$16:$G$25,0)),0)</f>
        <v/>
      </c>
      <c r="N3" s="37">
        <f t="array" ref="N3">IFERROR(INDEX('My Debts'!$F$16:$F$25,MATCH(2,'My Debts'!$G$16:$G$25,0)),0)</f>
        <v/>
      </c>
      <c r="O3" s="37">
        <f t="array" ref="O3">IFERROR(INDEX('My Debts'!$F$16:$F$25,MATCH(3,'My Debts'!$G$16:$G$25,0)),0)</f>
        <v/>
      </c>
      <c r="P3" s="37">
        <f t="array" ref="P3">IFERROR(INDEX('My Debts'!$F$16:$F$25,MATCH(4,'My Debts'!$G$16:$G$25,0)),0)</f>
        <v/>
      </c>
      <c r="Q3" s="37">
        <f t="array" ref="Q3">IFERROR(INDEX('My Debts'!$F$16:$F$25,MATCH(5,'My Debts'!$G$16:$G$25,0)),0)</f>
        <v/>
      </c>
      <c r="R3" s="37">
        <f t="array" ref="R3">IFERROR(INDEX('My Debts'!$F$16:$F$25,MATCH(6,'My Debts'!$G$16:$G$25,0)),0)</f>
        <v/>
      </c>
      <c r="S3" s="37">
        <f t="array" ref="S3">IFERROR(INDEX('My Debts'!$F$16:$F$25,MATCH(7,'My Debts'!$G$16:$G$25,0)),0)</f>
        <v/>
      </c>
      <c r="T3" s="37">
        <f t="array" ref="T3">IFERROR(INDEX('My Debts'!$F$16:$F$25,MATCH(8,'My Debts'!$G$16:$G$25,0)),0)</f>
        <v/>
      </c>
      <c r="U3" s="37">
        <f t="array" ref="U3">IFERROR(INDEX('My Debts'!$F$16:$F$25,MATCH(9,'My Debts'!$G$16:$G$25,0)),0)</f>
        <v/>
      </c>
      <c r="V3" s="37">
        <f t="array" ref="V3">IFERROR(INDEX('My Debts'!$F$16:$F$25,MATCH(10,'My Debts'!$G$16:$G$25,0)),0)</f>
        <v/>
      </c>
    </row>
    <row r="4" ht="30" customHeight="1" s="44">
      <c r="A4" s="14" t="inlineStr">
        <is>
          <t>Month</t>
        </is>
      </c>
      <c r="B4" s="14" t="inlineStr">
        <is>
          <t>Total payment for the month</t>
        </is>
      </c>
      <c r="C4" s="14">
        <f t="array" ref="C4">"Saldo: "&amp;IFERROR(INDEX('My Debts'!$B$16:$B$25,MATCH(1,'My Debts'!$G$16:$G$25,0)),"—")</f>
        <v/>
      </c>
      <c r="D4" s="14">
        <f t="array" ref="D4">"Saldo: "&amp;IFERROR(INDEX('My Debts'!$B$16:$B$25,MATCH(2,'My Debts'!$G$16:$G$25,0)),"—")</f>
        <v/>
      </c>
      <c r="E4" s="14">
        <f t="array" ref="E4">"Saldo: "&amp;IFERROR(INDEX('My Debts'!$B$16:$B$25,MATCH(3,'My Debts'!$G$16:$G$25,0)),"—")</f>
        <v/>
      </c>
      <c r="F4" s="14">
        <f t="array" ref="F4">"Saldo: "&amp;IFERROR(INDEX('My Debts'!$B$16:$B$25,MATCH(4,'My Debts'!$G$16:$G$25,0)),"—")</f>
        <v/>
      </c>
      <c r="G4" s="14">
        <f t="array" ref="G4">"Saldo: "&amp;IFERROR(INDEX('My Debts'!$B$16:$B$25,MATCH(5,'My Debts'!$G$16:$G$25,0)),"—")</f>
        <v/>
      </c>
      <c r="H4" s="14">
        <f t="array" ref="H4">"Saldo: "&amp;IFERROR(INDEX('My Debts'!$B$16:$B$25,MATCH(6,'My Debts'!$G$16:$G$25,0)),"—")</f>
        <v/>
      </c>
      <c r="I4" s="14">
        <f t="array" ref="I4">"Saldo: "&amp;IFERROR(INDEX('My Debts'!$B$16:$B$25,MATCH(7,'My Debts'!$G$16:$G$25,0)),"—")</f>
        <v/>
      </c>
      <c r="J4" s="14">
        <f t="array" ref="J4">"Saldo: "&amp;IFERROR(INDEX('My Debts'!$B$16:$B$25,MATCH(8,'My Debts'!$G$16:$G$25,0)),"—")</f>
        <v/>
      </c>
      <c r="K4" s="14">
        <f t="array" ref="K4">"Saldo: "&amp;IFERROR(INDEX('My Debts'!$B$16:$B$25,MATCH(9,'My Debts'!$G$16:$G$25,0)),"—")</f>
        <v/>
      </c>
      <c r="L4" s="14">
        <f t="array" ref="L4">"Saldo: "&amp;IFERROR(INDEX('My Debts'!$B$16:$B$25,MATCH(10,'My Debts'!$G$16:$G$25,0)),"—")</f>
        <v/>
      </c>
      <c r="M4" s="14">
        <f t="array" ref="M4">"Pago: "&amp;IFERROR(INDEX('My Debts'!$B$16:$B$25,MATCH(1,'My Debts'!$G$16:$G$25,0)),"—")</f>
        <v/>
      </c>
      <c r="N4" s="14">
        <f t="array" ref="N4">"Pago: "&amp;IFERROR(INDEX('My Debts'!$B$16:$B$25,MATCH(2,'My Debts'!$G$16:$G$25,0)),"—")</f>
        <v/>
      </c>
      <c r="O4" s="14">
        <f t="array" ref="O4">"Pago: "&amp;IFERROR(INDEX('My Debts'!$B$16:$B$25,MATCH(3,'My Debts'!$G$16:$G$25,0)),"—")</f>
        <v/>
      </c>
      <c r="P4" s="14">
        <f t="array" ref="P4">"Pago: "&amp;IFERROR(INDEX('My Debts'!$B$16:$B$25,MATCH(4,'My Debts'!$G$16:$G$25,0)),"—")</f>
        <v/>
      </c>
      <c r="Q4" s="14">
        <f t="array" ref="Q4">"Pago: "&amp;IFERROR(INDEX('My Debts'!$B$16:$B$25,MATCH(5,'My Debts'!$G$16:$G$25,0)),"—")</f>
        <v/>
      </c>
      <c r="R4" s="14">
        <f t="array" ref="R4">"Pago: "&amp;IFERROR(INDEX('My Debts'!$B$16:$B$25,MATCH(6,'My Debts'!$G$16:$G$25,0)),"—")</f>
        <v/>
      </c>
      <c r="S4" s="14">
        <f t="array" ref="S4">"Pago: "&amp;IFERROR(INDEX('My Debts'!$B$16:$B$25,MATCH(7,'My Debts'!$G$16:$G$25,0)),"—")</f>
        <v/>
      </c>
      <c r="T4" s="14">
        <f t="array" ref="T4">"Pago: "&amp;IFERROR(INDEX('My Debts'!$B$16:$B$25,MATCH(8,'My Debts'!$G$16:$G$25,0)),"—")</f>
        <v/>
      </c>
      <c r="U4" s="14">
        <f t="array" ref="U4">"Pago: "&amp;IFERROR(INDEX('My Debts'!$B$16:$B$25,MATCH(9,'My Debts'!$G$16:$G$25,0)),"—")</f>
        <v/>
      </c>
      <c r="V4" s="14">
        <f t="array" ref="V4">"Pago: "&amp;IFERROR(INDEX('My Debts'!$B$16:$B$25,MATCH(10,'My Debts'!$G$16:$G$25,0)),"—")</f>
        <v/>
      </c>
      <c r="W4" s="14" t="inlineStr">
        <is>
          <t>Interest for the month</t>
        </is>
      </c>
      <c r="X4" s="14" t="inlineStr">
        <is>
          <t>Total debt</t>
        </is>
      </c>
      <c r="Y4" s="14" t="inlineStr">
        <is>
          <t>Focus</t>
        </is>
      </c>
    </row>
    <row r="5">
      <c r="A5" s="41" t="n">
        <v>0</v>
      </c>
      <c r="B5" s="41" t="n">
        <v>0</v>
      </c>
      <c r="C5" s="37">
        <f>C3</f>
        <v/>
      </c>
      <c r="D5" s="37">
        <f>D3</f>
        <v/>
      </c>
      <c r="E5" s="37">
        <f>E3</f>
        <v/>
      </c>
      <c r="F5" s="37">
        <f>F3</f>
        <v/>
      </c>
      <c r="G5" s="37">
        <f>G3</f>
        <v/>
      </c>
      <c r="H5" s="37">
        <f>H3</f>
        <v/>
      </c>
      <c r="I5" s="37">
        <f>I3</f>
        <v/>
      </c>
      <c r="J5" s="37">
        <f>J3</f>
        <v/>
      </c>
      <c r="K5" s="37">
        <f>K3</f>
        <v/>
      </c>
      <c r="L5" s="37">
        <f>L3</f>
        <v/>
      </c>
      <c r="M5" s="37" t="n">
        <v>0</v>
      </c>
      <c r="N5" s="37" t="n">
        <v>0</v>
      </c>
      <c r="O5" s="37" t="n">
        <v>0</v>
      </c>
      <c r="P5" s="37" t="n">
        <v>0</v>
      </c>
      <c r="Q5" s="37" t="n">
        <v>0</v>
      </c>
      <c r="R5" s="37" t="n">
        <v>0</v>
      </c>
      <c r="S5" s="37" t="n">
        <v>0</v>
      </c>
      <c r="T5" s="37" t="n">
        <v>0</v>
      </c>
      <c r="U5" s="37" t="n">
        <v>0</v>
      </c>
      <c r="V5" s="37" t="n">
        <v>0</v>
      </c>
      <c r="W5" s="41" t="n">
        <v>0</v>
      </c>
      <c r="X5" s="37">
        <f>SUM(C5:L5)</f>
        <v/>
      </c>
    </row>
    <row r="6" ht="18" customHeight="1" s="44">
      <c r="A6" s="42" t="n">
        <v>1</v>
      </c>
      <c r="B6" s="37">
        <f>IF($X5&gt;0,'My Debts'!$B$8,0)</f>
        <v/>
      </c>
      <c r="C6" s="37">
        <f>ROUND(MAX(0,$C5*(1+C$2)-M6),2)</f>
        <v/>
      </c>
      <c r="D6" s="37">
        <f>ROUND(MAX(0,$D5*(1+D$2)-N6),2)</f>
        <v/>
      </c>
      <c r="E6" s="37">
        <f>ROUND(MAX(0,$E5*(1+E$2)-O6),2)</f>
        <v/>
      </c>
      <c r="F6" s="37">
        <f>ROUND(MAX(0,$F5*(1+F$2)-P6),2)</f>
        <v/>
      </c>
      <c r="G6" s="37">
        <f>ROUND(MAX(0,$G5*(1+G$2)-Q6),2)</f>
        <v/>
      </c>
      <c r="H6" s="37">
        <f>ROUND(MAX(0,$H5*(1+H$2)-R6),2)</f>
        <v/>
      </c>
      <c r="I6" s="37">
        <f>ROUND(MAX(0,$I5*(1+I$2)-S6),2)</f>
        <v/>
      </c>
      <c r="J6" s="37">
        <f>ROUND(MAX(0,$J5*(1+J$2)-T6),2)</f>
        <v/>
      </c>
      <c r="K6" s="37">
        <f>ROUND(MAX(0,$K5*(1+K$2)-U6),2)</f>
        <v/>
      </c>
      <c r="L6" s="37">
        <f>ROUND(MAX(0,$L5*(1+L$2)-V6),2)</f>
        <v/>
      </c>
      <c r="M6" s="37">
        <f>IF($C5&lt;=0,0,IF($Y6=1,MIN($C5*(1+C$2),MAX(0,$B6-(IF($D5&gt;0,MIN($N$3,$D5*(1+$D$2)),0)+IF($E5&gt;0,MIN($O$3,$E5*(1+$E$2)),0)+IF($F5&gt;0,MIN($P$3,$F5*(1+$F$2)),0)+IF($G5&gt;0,MIN($Q$3,$G5*(1+$G$2)),0)+IF($H5&gt;0,MIN($R$3,$H5*(1+$H$2)),0)+IF($I5&gt;0,MIN($S$3,$I5*(1+$I$2)),0)+IF($J5&gt;0,MIN($T$3,$J5*(1+$J$2)),0)+IF($K5&gt;0,MIN($U$3,$K5*(1+$K$2)),0)+IF($L5&gt;0,MIN($V$3,$L5*(1+$L$2)),0)))),MIN($M$3,$C5*(1+C$2))))</f>
        <v/>
      </c>
      <c r="N6" s="37">
        <f>IF($D5&lt;=0,0,IF($Y6=2,MIN($D5*(1+D$2),MAX(0,$B6-(IF($C5&gt;0,MIN($M$3,$C5*(1+$C$2)),0)+IF($E5&gt;0,MIN($O$3,$E5*(1+$E$2)),0)+IF($F5&gt;0,MIN($P$3,$F5*(1+$F$2)),0)+IF($G5&gt;0,MIN($Q$3,$G5*(1+$G$2)),0)+IF($H5&gt;0,MIN($R$3,$H5*(1+$H$2)),0)+IF($I5&gt;0,MIN($S$3,$I5*(1+$I$2)),0)+IF($J5&gt;0,MIN($T$3,$J5*(1+$J$2)),0)+IF($K5&gt;0,MIN($U$3,$K5*(1+$K$2)),0)+IF($L5&gt;0,MIN($V$3,$L5*(1+$L$2)),0)))),MIN($N$3,$D5*(1+D$2))))</f>
        <v/>
      </c>
      <c r="O6" s="37">
        <f>IF($E5&lt;=0,0,IF($Y6=3,MIN($E5*(1+E$2),MAX(0,$B6-(IF($C5&gt;0,MIN($M$3,$C5*(1+$C$2)),0)+IF($D5&gt;0,MIN($N$3,$D5*(1+$D$2)),0)+IF($F5&gt;0,MIN($P$3,$F5*(1+$F$2)),0)+IF($G5&gt;0,MIN($Q$3,$G5*(1+$G$2)),0)+IF($H5&gt;0,MIN($R$3,$H5*(1+$H$2)),0)+IF($I5&gt;0,MIN($S$3,$I5*(1+$I$2)),0)+IF($J5&gt;0,MIN($T$3,$J5*(1+$J$2)),0)+IF($K5&gt;0,MIN($U$3,$K5*(1+$K$2)),0)+IF($L5&gt;0,MIN($V$3,$L5*(1+$L$2)),0)))),MIN($O$3,$E5*(1+E$2))))</f>
        <v/>
      </c>
      <c r="P6" s="37">
        <f>IF($F5&lt;=0,0,IF($Y6=4,MIN($F5*(1+F$2),MAX(0,$B6-(IF($C5&gt;0,MIN($M$3,$C5*(1+$C$2)),0)+IF($D5&gt;0,MIN($N$3,$D5*(1+$D$2)),0)+IF($E5&gt;0,MIN($O$3,$E5*(1+$E$2)),0)+IF($G5&gt;0,MIN($Q$3,$G5*(1+$G$2)),0)+IF($H5&gt;0,MIN($R$3,$H5*(1+$H$2)),0)+IF($I5&gt;0,MIN($S$3,$I5*(1+$I$2)),0)+IF($J5&gt;0,MIN($T$3,$J5*(1+$J$2)),0)+IF($K5&gt;0,MIN($U$3,$K5*(1+$K$2)),0)+IF($L5&gt;0,MIN($V$3,$L5*(1+$L$2)),0)))),MIN($P$3,$F5*(1+F$2))))</f>
        <v/>
      </c>
      <c r="Q6" s="37">
        <f>IF($G5&lt;=0,0,IF($Y6=5,MIN($G5*(1+G$2),MAX(0,$B6-(IF($C5&gt;0,MIN($M$3,$C5*(1+$C$2)),0)+IF($D5&gt;0,MIN($N$3,$D5*(1+$D$2)),0)+IF($E5&gt;0,MIN($O$3,$E5*(1+$E$2)),0)+IF($F5&gt;0,MIN($P$3,$F5*(1+$F$2)),0)+IF($H5&gt;0,MIN($R$3,$H5*(1+$H$2)),0)+IF($I5&gt;0,MIN($S$3,$I5*(1+$I$2)),0)+IF($J5&gt;0,MIN($T$3,$J5*(1+$J$2)),0)+IF($K5&gt;0,MIN($U$3,$K5*(1+$K$2)),0)+IF($L5&gt;0,MIN($V$3,$L5*(1+$L$2)),0)))),MIN($Q$3,$G5*(1+G$2))))</f>
        <v/>
      </c>
      <c r="R6" s="37">
        <f>IF($H5&lt;=0,0,IF($Y6=6,MIN($H5*(1+H$2),MAX(0,$B6-(IF($C5&gt;0,MIN($M$3,$C5*(1+$C$2)),0)+IF($D5&gt;0,MIN($N$3,$D5*(1+$D$2)),0)+IF($E5&gt;0,MIN($O$3,$E5*(1+$E$2)),0)+IF($F5&gt;0,MIN($P$3,$F5*(1+$F$2)),0)+IF($G5&gt;0,MIN($Q$3,$G5*(1+$G$2)),0)+IF($I5&gt;0,MIN($S$3,$I5*(1+$I$2)),0)+IF($J5&gt;0,MIN($T$3,$J5*(1+$J$2)),0)+IF($K5&gt;0,MIN($U$3,$K5*(1+$K$2)),0)+IF($L5&gt;0,MIN($V$3,$L5*(1+$L$2)),0)))),MIN($R$3,$H5*(1+H$2))))</f>
        <v/>
      </c>
      <c r="S6" s="37">
        <f>IF($I5&lt;=0,0,IF($Y6=7,MIN($I5*(1+I$2),MAX(0,$B6-(IF($C5&gt;0,MIN($M$3,$C5*(1+$C$2)),0)+IF($D5&gt;0,MIN($N$3,$D5*(1+$D$2)),0)+IF($E5&gt;0,MIN($O$3,$E5*(1+$E$2)),0)+IF($F5&gt;0,MIN($P$3,$F5*(1+$F$2)),0)+IF($G5&gt;0,MIN($Q$3,$G5*(1+$G$2)),0)+IF($H5&gt;0,MIN($R$3,$H5*(1+$H$2)),0)+IF($J5&gt;0,MIN($T$3,$J5*(1+$J$2)),0)+IF($K5&gt;0,MIN($U$3,$K5*(1+$K$2)),0)+IF($L5&gt;0,MIN($V$3,$L5*(1+$L$2)),0)))),MIN($S$3,$I5*(1+I$2))))</f>
        <v/>
      </c>
      <c r="T6" s="37">
        <f>IF($J5&lt;=0,0,IF($Y6=8,MIN($J5*(1+J$2),MAX(0,$B6-(IF($C5&gt;0,MIN($M$3,$C5*(1+$C$2)),0)+IF($D5&gt;0,MIN($N$3,$D5*(1+$D$2)),0)+IF($E5&gt;0,MIN($O$3,$E5*(1+$E$2)),0)+IF($F5&gt;0,MIN($P$3,$F5*(1+$F$2)),0)+IF($G5&gt;0,MIN($Q$3,$G5*(1+$G$2)),0)+IF($H5&gt;0,MIN($R$3,$H5*(1+$H$2)),0)+IF($I5&gt;0,MIN($S$3,$I5*(1+$I$2)),0)+IF($K5&gt;0,MIN($U$3,$K5*(1+$K$2)),0)+IF($L5&gt;0,MIN($V$3,$L5*(1+$L$2)),0)))),MIN($T$3,$J5*(1+J$2))))</f>
        <v/>
      </c>
      <c r="U6" s="37">
        <f>IF($K5&lt;=0,0,IF($Y6=9,MIN($K5*(1+K$2),MAX(0,$B6-(IF($C5&gt;0,MIN($M$3,$C5*(1+$C$2)),0)+IF($D5&gt;0,MIN($N$3,$D5*(1+$D$2)),0)+IF($E5&gt;0,MIN($O$3,$E5*(1+$E$2)),0)+IF($F5&gt;0,MIN($P$3,$F5*(1+$F$2)),0)+IF($G5&gt;0,MIN($Q$3,$G5*(1+$G$2)),0)+IF($H5&gt;0,MIN($R$3,$H5*(1+$H$2)),0)+IF($I5&gt;0,MIN($S$3,$I5*(1+$I$2)),0)+IF($J5&gt;0,MIN($T$3,$J5*(1+$J$2)),0)+IF($L5&gt;0,MIN($V$3,$L5*(1+$L$2)),0)))),MIN($U$3,$K5*(1+K$2))))</f>
        <v/>
      </c>
      <c r="V6" s="37">
        <f>IF($L5&lt;=0,0,IF($Y6=10,MIN($L5*(1+L$2),MAX(0,$B6-(IF($C5&gt;0,MIN($M$3,$C5*(1+$C$2)),0)+IF($D5&gt;0,MIN($N$3,$D5*(1+$D$2)),0)+IF($E5&gt;0,MIN($O$3,$E5*(1+$E$2)),0)+IF($F5&gt;0,MIN($P$3,$F5*(1+$F$2)),0)+IF($G5&gt;0,MIN($Q$3,$G5*(1+$G$2)),0)+IF($H5&gt;0,MIN($R$3,$H5*(1+$H$2)),0)+IF($I5&gt;0,MIN($S$3,$I5*(1+$I$2)),0)+IF($J5&gt;0,MIN($T$3,$J5*(1+$J$2)),0)+IF($K5&gt;0,MIN($U$3,$K5*(1+$K$2)),0)))),MIN($V$3,$L5*(1+L$2))))</f>
        <v/>
      </c>
      <c r="W6" s="37">
        <f>ROUND(SUMPRODUCT($C5:$L5,$C$2:$L$2),2)</f>
        <v/>
      </c>
      <c r="X6" s="37">
        <f>SUM($C6:$L6)</f>
        <v/>
      </c>
      <c r="Y6" s="42">
        <f>IF($X5=0,"",MIN(IF($C5&gt;0,1,'My Debts'!$B$13+1),IF($D5&gt;0,2,'My Debts'!$B$13+1),IF($E5&gt;0,3,'My Debts'!$B$13+1),IF($F5&gt;0,4,'My Debts'!$B$13+1),IF($G5&gt;0,5,'My Debts'!$B$13+1),IF($H5&gt;0,6,'My Debts'!$B$13+1),IF($I5&gt;0,7,'My Debts'!$B$13+1),IF($J5&gt;0,8,'My Debts'!$B$13+1),IF($K5&gt;0,9,'My Debts'!$B$13+1),IF($L5&gt;0,10,'My Debts'!$B$13+1)))</f>
        <v/>
      </c>
    </row>
    <row r="7" ht="18" customHeight="1" s="44">
      <c r="A7" s="42" t="n">
        <v>2</v>
      </c>
      <c r="B7" s="37">
        <f>IF($X6&gt;0,'My Debts'!$B$8,0)</f>
        <v/>
      </c>
      <c r="C7" s="37">
        <f>ROUND(MAX(0,$C6*(1+C$2)-M7),2)</f>
        <v/>
      </c>
      <c r="D7" s="37">
        <f>ROUND(MAX(0,$D6*(1+D$2)-N7),2)</f>
        <v/>
      </c>
      <c r="E7" s="37">
        <f>ROUND(MAX(0,$E6*(1+E$2)-O7),2)</f>
        <v/>
      </c>
      <c r="F7" s="37">
        <f>ROUND(MAX(0,$F6*(1+F$2)-P7),2)</f>
        <v/>
      </c>
      <c r="G7" s="37">
        <f>ROUND(MAX(0,$G6*(1+G$2)-Q7),2)</f>
        <v/>
      </c>
      <c r="H7" s="37">
        <f>ROUND(MAX(0,$H6*(1+H$2)-R7),2)</f>
        <v/>
      </c>
      <c r="I7" s="37">
        <f>ROUND(MAX(0,$I6*(1+I$2)-S7),2)</f>
        <v/>
      </c>
      <c r="J7" s="37">
        <f>ROUND(MAX(0,$J6*(1+J$2)-T7),2)</f>
        <v/>
      </c>
      <c r="K7" s="37">
        <f>ROUND(MAX(0,$K6*(1+K$2)-U7),2)</f>
        <v/>
      </c>
      <c r="L7" s="37">
        <f>ROUND(MAX(0,$L6*(1+L$2)-V7),2)</f>
        <v/>
      </c>
      <c r="M7" s="37">
        <f>IF($C6&lt;=0,0,IF($Y7=1,MIN($C6*(1+C$2),MAX(0,$B7-(IF($D6&gt;0,MIN($N$3,$D6*(1+$D$2)),0)+IF($E6&gt;0,MIN($O$3,$E6*(1+$E$2)),0)+IF($F6&gt;0,MIN($P$3,$F6*(1+$F$2)),0)+IF($G6&gt;0,MIN($Q$3,$G6*(1+$G$2)),0)+IF($H6&gt;0,MIN($R$3,$H6*(1+$H$2)),0)+IF($I6&gt;0,MIN($S$3,$I6*(1+$I$2)),0)+IF($J6&gt;0,MIN($T$3,$J6*(1+$J$2)),0)+IF($K6&gt;0,MIN($U$3,$K6*(1+$K$2)),0)+IF($L6&gt;0,MIN($V$3,$L6*(1+$L$2)),0)))),MIN($M$3,$C6*(1+C$2))))</f>
        <v/>
      </c>
      <c r="N7" s="37">
        <f>IF($D6&lt;=0,0,IF($Y7=2,MIN($D6*(1+D$2),MAX(0,$B7-(IF($C6&gt;0,MIN($M$3,$C6*(1+$C$2)),0)+IF($E6&gt;0,MIN($O$3,$E6*(1+$E$2)),0)+IF($F6&gt;0,MIN($P$3,$F6*(1+$F$2)),0)+IF($G6&gt;0,MIN($Q$3,$G6*(1+$G$2)),0)+IF($H6&gt;0,MIN($R$3,$H6*(1+$H$2)),0)+IF($I6&gt;0,MIN($S$3,$I6*(1+$I$2)),0)+IF($J6&gt;0,MIN($T$3,$J6*(1+$J$2)),0)+IF($K6&gt;0,MIN($U$3,$K6*(1+$K$2)),0)+IF($L6&gt;0,MIN($V$3,$L6*(1+$L$2)),0)))),MIN($N$3,$D6*(1+D$2))))</f>
        <v/>
      </c>
      <c r="O7" s="37">
        <f>IF($E6&lt;=0,0,IF($Y7=3,MIN($E6*(1+E$2),MAX(0,$B7-(IF($C6&gt;0,MIN($M$3,$C6*(1+$C$2)),0)+IF($D6&gt;0,MIN($N$3,$D6*(1+$D$2)),0)+IF($F6&gt;0,MIN($P$3,$F6*(1+$F$2)),0)+IF($G6&gt;0,MIN($Q$3,$G6*(1+$G$2)),0)+IF($H6&gt;0,MIN($R$3,$H6*(1+$H$2)),0)+IF($I6&gt;0,MIN($S$3,$I6*(1+$I$2)),0)+IF($J6&gt;0,MIN($T$3,$J6*(1+$J$2)),0)+IF($K6&gt;0,MIN($U$3,$K6*(1+$K$2)),0)+IF($L6&gt;0,MIN($V$3,$L6*(1+$L$2)),0)))),MIN($O$3,$E6*(1+E$2))))</f>
        <v/>
      </c>
      <c r="P7" s="37">
        <f>IF($F6&lt;=0,0,IF($Y7=4,MIN($F6*(1+F$2),MAX(0,$B7-(IF($C6&gt;0,MIN($M$3,$C6*(1+$C$2)),0)+IF($D6&gt;0,MIN($N$3,$D6*(1+$D$2)),0)+IF($E6&gt;0,MIN($O$3,$E6*(1+$E$2)),0)+IF($G6&gt;0,MIN($Q$3,$G6*(1+$G$2)),0)+IF($H6&gt;0,MIN($R$3,$H6*(1+$H$2)),0)+IF($I6&gt;0,MIN($S$3,$I6*(1+$I$2)),0)+IF($J6&gt;0,MIN($T$3,$J6*(1+$J$2)),0)+IF($K6&gt;0,MIN($U$3,$K6*(1+$K$2)),0)+IF($L6&gt;0,MIN($V$3,$L6*(1+$L$2)),0)))),MIN($P$3,$F6*(1+F$2))))</f>
        <v/>
      </c>
      <c r="Q7" s="37">
        <f>IF($G6&lt;=0,0,IF($Y7=5,MIN($G6*(1+G$2),MAX(0,$B7-(IF($C6&gt;0,MIN($M$3,$C6*(1+$C$2)),0)+IF($D6&gt;0,MIN($N$3,$D6*(1+$D$2)),0)+IF($E6&gt;0,MIN($O$3,$E6*(1+$E$2)),0)+IF($F6&gt;0,MIN($P$3,$F6*(1+$F$2)),0)+IF($H6&gt;0,MIN($R$3,$H6*(1+$H$2)),0)+IF($I6&gt;0,MIN($S$3,$I6*(1+$I$2)),0)+IF($J6&gt;0,MIN($T$3,$J6*(1+$J$2)),0)+IF($K6&gt;0,MIN($U$3,$K6*(1+$K$2)),0)+IF($L6&gt;0,MIN($V$3,$L6*(1+$L$2)),0)))),MIN($Q$3,$G6*(1+G$2))))</f>
        <v/>
      </c>
      <c r="R7" s="37">
        <f>IF($H6&lt;=0,0,IF($Y7=6,MIN($H6*(1+H$2),MAX(0,$B7-(IF($C6&gt;0,MIN($M$3,$C6*(1+$C$2)),0)+IF($D6&gt;0,MIN($N$3,$D6*(1+$D$2)),0)+IF($E6&gt;0,MIN($O$3,$E6*(1+$E$2)),0)+IF($F6&gt;0,MIN($P$3,$F6*(1+$F$2)),0)+IF($G6&gt;0,MIN($Q$3,$G6*(1+$G$2)),0)+IF($I6&gt;0,MIN($S$3,$I6*(1+$I$2)),0)+IF($J6&gt;0,MIN($T$3,$J6*(1+$J$2)),0)+IF($K6&gt;0,MIN($U$3,$K6*(1+$K$2)),0)+IF($L6&gt;0,MIN($V$3,$L6*(1+$L$2)),0)))),MIN($R$3,$H6*(1+H$2))))</f>
        <v/>
      </c>
      <c r="S7" s="37">
        <f>IF($I6&lt;=0,0,IF($Y7=7,MIN($I6*(1+I$2),MAX(0,$B7-(IF($C6&gt;0,MIN($M$3,$C6*(1+$C$2)),0)+IF($D6&gt;0,MIN($N$3,$D6*(1+$D$2)),0)+IF($E6&gt;0,MIN($O$3,$E6*(1+$E$2)),0)+IF($F6&gt;0,MIN($P$3,$F6*(1+$F$2)),0)+IF($G6&gt;0,MIN($Q$3,$G6*(1+$G$2)),0)+IF($H6&gt;0,MIN($R$3,$H6*(1+$H$2)),0)+IF($J6&gt;0,MIN($T$3,$J6*(1+$J$2)),0)+IF($K6&gt;0,MIN($U$3,$K6*(1+$K$2)),0)+IF($L6&gt;0,MIN($V$3,$L6*(1+$L$2)),0)))),MIN($S$3,$I6*(1+I$2))))</f>
        <v/>
      </c>
      <c r="T7" s="37">
        <f>IF($J6&lt;=0,0,IF($Y7=8,MIN($J6*(1+J$2),MAX(0,$B7-(IF($C6&gt;0,MIN($M$3,$C6*(1+$C$2)),0)+IF($D6&gt;0,MIN($N$3,$D6*(1+$D$2)),0)+IF($E6&gt;0,MIN($O$3,$E6*(1+$E$2)),0)+IF($F6&gt;0,MIN($P$3,$F6*(1+$F$2)),0)+IF($G6&gt;0,MIN($Q$3,$G6*(1+$G$2)),0)+IF($H6&gt;0,MIN($R$3,$H6*(1+$H$2)),0)+IF($I6&gt;0,MIN($S$3,$I6*(1+$I$2)),0)+IF($K6&gt;0,MIN($U$3,$K6*(1+$K$2)),0)+IF($L6&gt;0,MIN($V$3,$L6*(1+$L$2)),0)))),MIN($T$3,$J6*(1+J$2))))</f>
        <v/>
      </c>
      <c r="U7" s="37">
        <f>IF($K6&lt;=0,0,IF($Y7=9,MIN($K6*(1+K$2),MAX(0,$B7-(IF($C6&gt;0,MIN($M$3,$C6*(1+$C$2)),0)+IF($D6&gt;0,MIN($N$3,$D6*(1+$D$2)),0)+IF($E6&gt;0,MIN($O$3,$E6*(1+$E$2)),0)+IF($F6&gt;0,MIN($P$3,$F6*(1+$F$2)),0)+IF($G6&gt;0,MIN($Q$3,$G6*(1+$G$2)),0)+IF($H6&gt;0,MIN($R$3,$H6*(1+$H$2)),0)+IF($I6&gt;0,MIN($S$3,$I6*(1+$I$2)),0)+IF($J6&gt;0,MIN($T$3,$J6*(1+$J$2)),0)+IF($L6&gt;0,MIN($V$3,$L6*(1+$L$2)),0)))),MIN($U$3,$K6*(1+K$2))))</f>
        <v/>
      </c>
      <c r="V7" s="37">
        <f>IF($L6&lt;=0,0,IF($Y7=10,MIN($L6*(1+L$2),MAX(0,$B7-(IF($C6&gt;0,MIN($M$3,$C6*(1+$C$2)),0)+IF($D6&gt;0,MIN($N$3,$D6*(1+$D$2)),0)+IF($E6&gt;0,MIN($O$3,$E6*(1+$E$2)),0)+IF($F6&gt;0,MIN($P$3,$F6*(1+$F$2)),0)+IF($G6&gt;0,MIN($Q$3,$G6*(1+$G$2)),0)+IF($H6&gt;0,MIN($R$3,$H6*(1+$H$2)),0)+IF($I6&gt;0,MIN($S$3,$I6*(1+$I$2)),0)+IF($J6&gt;0,MIN($T$3,$J6*(1+$J$2)),0)+IF($K6&gt;0,MIN($U$3,$K6*(1+$K$2)),0)))),MIN($V$3,$L6*(1+L$2))))</f>
        <v/>
      </c>
      <c r="W7" s="37">
        <f>ROUND(SUMPRODUCT($C6:$L6,$C$2:$L$2),2)</f>
        <v/>
      </c>
      <c r="X7" s="37">
        <f>SUM($C7:$L7)</f>
        <v/>
      </c>
      <c r="Y7" s="42">
        <f>IF($X6=0,"",MIN(IF($C6&gt;0,1,'My Debts'!$B$13+1),IF($D6&gt;0,2,'My Debts'!$B$13+1),IF($E6&gt;0,3,'My Debts'!$B$13+1),IF($F6&gt;0,4,'My Debts'!$B$13+1),IF($G6&gt;0,5,'My Debts'!$B$13+1),IF($H6&gt;0,6,'My Debts'!$B$13+1),IF($I6&gt;0,7,'My Debts'!$B$13+1),IF($J6&gt;0,8,'My Debts'!$B$13+1),IF($K6&gt;0,9,'My Debts'!$B$13+1),IF($L6&gt;0,10,'My Debts'!$B$13+1)))</f>
        <v/>
      </c>
    </row>
    <row r="8" ht="18" customHeight="1" s="44">
      <c r="A8" s="42" t="n">
        <v>3</v>
      </c>
      <c r="B8" s="37">
        <f>IF($X7&gt;0,'My Debts'!$B$8,0)</f>
        <v/>
      </c>
      <c r="C8" s="37">
        <f>ROUND(MAX(0,$C7*(1+C$2)-M8),2)</f>
        <v/>
      </c>
      <c r="D8" s="37">
        <f>ROUND(MAX(0,$D7*(1+D$2)-N8),2)</f>
        <v/>
      </c>
      <c r="E8" s="37">
        <f>ROUND(MAX(0,$E7*(1+E$2)-O8),2)</f>
        <v/>
      </c>
      <c r="F8" s="37">
        <f>ROUND(MAX(0,$F7*(1+F$2)-P8),2)</f>
        <v/>
      </c>
      <c r="G8" s="37">
        <f>ROUND(MAX(0,$G7*(1+G$2)-Q8),2)</f>
        <v/>
      </c>
      <c r="H8" s="37">
        <f>ROUND(MAX(0,$H7*(1+H$2)-R8),2)</f>
        <v/>
      </c>
      <c r="I8" s="37">
        <f>ROUND(MAX(0,$I7*(1+I$2)-S8),2)</f>
        <v/>
      </c>
      <c r="J8" s="37">
        <f>ROUND(MAX(0,$J7*(1+J$2)-T8),2)</f>
        <v/>
      </c>
      <c r="K8" s="37">
        <f>ROUND(MAX(0,$K7*(1+K$2)-U8),2)</f>
        <v/>
      </c>
      <c r="L8" s="37">
        <f>ROUND(MAX(0,$L7*(1+L$2)-V8),2)</f>
        <v/>
      </c>
      <c r="M8" s="37">
        <f>IF($C7&lt;=0,0,IF($Y8=1,MIN($C7*(1+C$2),MAX(0,$B8-(IF($D7&gt;0,MIN($N$3,$D7*(1+$D$2)),0)+IF($E7&gt;0,MIN($O$3,$E7*(1+$E$2)),0)+IF($F7&gt;0,MIN($P$3,$F7*(1+$F$2)),0)+IF($G7&gt;0,MIN($Q$3,$G7*(1+$G$2)),0)+IF($H7&gt;0,MIN($R$3,$H7*(1+$H$2)),0)+IF($I7&gt;0,MIN($S$3,$I7*(1+$I$2)),0)+IF($J7&gt;0,MIN($T$3,$J7*(1+$J$2)),0)+IF($K7&gt;0,MIN($U$3,$K7*(1+$K$2)),0)+IF($L7&gt;0,MIN($V$3,$L7*(1+$L$2)),0)))),MIN($M$3,$C7*(1+C$2))))</f>
        <v/>
      </c>
      <c r="N8" s="37">
        <f>IF($D7&lt;=0,0,IF($Y8=2,MIN($D7*(1+D$2),MAX(0,$B8-(IF($C7&gt;0,MIN($M$3,$C7*(1+$C$2)),0)+IF($E7&gt;0,MIN($O$3,$E7*(1+$E$2)),0)+IF($F7&gt;0,MIN($P$3,$F7*(1+$F$2)),0)+IF($G7&gt;0,MIN($Q$3,$G7*(1+$G$2)),0)+IF($H7&gt;0,MIN($R$3,$H7*(1+$H$2)),0)+IF($I7&gt;0,MIN($S$3,$I7*(1+$I$2)),0)+IF($J7&gt;0,MIN($T$3,$J7*(1+$J$2)),0)+IF($K7&gt;0,MIN($U$3,$K7*(1+$K$2)),0)+IF($L7&gt;0,MIN($V$3,$L7*(1+$L$2)),0)))),MIN($N$3,$D7*(1+D$2))))</f>
        <v/>
      </c>
      <c r="O8" s="37">
        <f>IF($E7&lt;=0,0,IF($Y8=3,MIN($E7*(1+E$2),MAX(0,$B8-(IF($C7&gt;0,MIN($M$3,$C7*(1+$C$2)),0)+IF($D7&gt;0,MIN($N$3,$D7*(1+$D$2)),0)+IF($F7&gt;0,MIN($P$3,$F7*(1+$F$2)),0)+IF($G7&gt;0,MIN($Q$3,$G7*(1+$G$2)),0)+IF($H7&gt;0,MIN($R$3,$H7*(1+$H$2)),0)+IF($I7&gt;0,MIN($S$3,$I7*(1+$I$2)),0)+IF($J7&gt;0,MIN($T$3,$J7*(1+$J$2)),0)+IF($K7&gt;0,MIN($U$3,$K7*(1+$K$2)),0)+IF($L7&gt;0,MIN($V$3,$L7*(1+$L$2)),0)))),MIN($O$3,$E7*(1+E$2))))</f>
        <v/>
      </c>
      <c r="P8" s="37">
        <f>IF($F7&lt;=0,0,IF($Y8=4,MIN($F7*(1+F$2),MAX(0,$B8-(IF($C7&gt;0,MIN($M$3,$C7*(1+$C$2)),0)+IF($D7&gt;0,MIN($N$3,$D7*(1+$D$2)),0)+IF($E7&gt;0,MIN($O$3,$E7*(1+$E$2)),0)+IF($G7&gt;0,MIN($Q$3,$G7*(1+$G$2)),0)+IF($H7&gt;0,MIN($R$3,$H7*(1+$H$2)),0)+IF($I7&gt;0,MIN($S$3,$I7*(1+$I$2)),0)+IF($J7&gt;0,MIN($T$3,$J7*(1+$J$2)),0)+IF($K7&gt;0,MIN($U$3,$K7*(1+$K$2)),0)+IF($L7&gt;0,MIN($V$3,$L7*(1+$L$2)),0)))),MIN($P$3,$F7*(1+F$2))))</f>
        <v/>
      </c>
      <c r="Q8" s="37">
        <f>IF($G7&lt;=0,0,IF($Y8=5,MIN($G7*(1+G$2),MAX(0,$B8-(IF($C7&gt;0,MIN($M$3,$C7*(1+$C$2)),0)+IF($D7&gt;0,MIN($N$3,$D7*(1+$D$2)),0)+IF($E7&gt;0,MIN($O$3,$E7*(1+$E$2)),0)+IF($F7&gt;0,MIN($P$3,$F7*(1+$F$2)),0)+IF($H7&gt;0,MIN($R$3,$H7*(1+$H$2)),0)+IF($I7&gt;0,MIN($S$3,$I7*(1+$I$2)),0)+IF($J7&gt;0,MIN($T$3,$J7*(1+$J$2)),0)+IF($K7&gt;0,MIN($U$3,$K7*(1+$K$2)),0)+IF($L7&gt;0,MIN($V$3,$L7*(1+$L$2)),0)))),MIN($Q$3,$G7*(1+G$2))))</f>
        <v/>
      </c>
      <c r="R8" s="37">
        <f>IF($H7&lt;=0,0,IF($Y8=6,MIN($H7*(1+H$2),MAX(0,$B8-(IF($C7&gt;0,MIN($M$3,$C7*(1+$C$2)),0)+IF($D7&gt;0,MIN($N$3,$D7*(1+$D$2)),0)+IF($E7&gt;0,MIN($O$3,$E7*(1+$E$2)),0)+IF($F7&gt;0,MIN($P$3,$F7*(1+$F$2)),0)+IF($G7&gt;0,MIN($Q$3,$G7*(1+$G$2)),0)+IF($I7&gt;0,MIN($S$3,$I7*(1+$I$2)),0)+IF($J7&gt;0,MIN($T$3,$J7*(1+$J$2)),0)+IF($K7&gt;0,MIN($U$3,$K7*(1+$K$2)),0)+IF($L7&gt;0,MIN($V$3,$L7*(1+$L$2)),0)))),MIN($R$3,$H7*(1+H$2))))</f>
        <v/>
      </c>
      <c r="S8" s="37">
        <f>IF($I7&lt;=0,0,IF($Y8=7,MIN($I7*(1+I$2),MAX(0,$B8-(IF($C7&gt;0,MIN($M$3,$C7*(1+$C$2)),0)+IF($D7&gt;0,MIN($N$3,$D7*(1+$D$2)),0)+IF($E7&gt;0,MIN($O$3,$E7*(1+$E$2)),0)+IF($F7&gt;0,MIN($P$3,$F7*(1+$F$2)),0)+IF($G7&gt;0,MIN($Q$3,$G7*(1+$G$2)),0)+IF($H7&gt;0,MIN($R$3,$H7*(1+$H$2)),0)+IF($J7&gt;0,MIN($T$3,$J7*(1+$J$2)),0)+IF($K7&gt;0,MIN($U$3,$K7*(1+$K$2)),0)+IF($L7&gt;0,MIN($V$3,$L7*(1+$L$2)),0)))),MIN($S$3,$I7*(1+I$2))))</f>
        <v/>
      </c>
      <c r="T8" s="37">
        <f>IF($J7&lt;=0,0,IF($Y8=8,MIN($J7*(1+J$2),MAX(0,$B8-(IF($C7&gt;0,MIN($M$3,$C7*(1+$C$2)),0)+IF($D7&gt;0,MIN($N$3,$D7*(1+$D$2)),0)+IF($E7&gt;0,MIN($O$3,$E7*(1+$E$2)),0)+IF($F7&gt;0,MIN($P$3,$F7*(1+$F$2)),0)+IF($G7&gt;0,MIN($Q$3,$G7*(1+$G$2)),0)+IF($H7&gt;0,MIN($R$3,$H7*(1+$H$2)),0)+IF($I7&gt;0,MIN($S$3,$I7*(1+$I$2)),0)+IF($K7&gt;0,MIN($U$3,$K7*(1+$K$2)),0)+IF($L7&gt;0,MIN($V$3,$L7*(1+$L$2)),0)))),MIN($T$3,$J7*(1+J$2))))</f>
        <v/>
      </c>
      <c r="U8" s="37">
        <f>IF($K7&lt;=0,0,IF($Y8=9,MIN($K7*(1+K$2),MAX(0,$B8-(IF($C7&gt;0,MIN($M$3,$C7*(1+$C$2)),0)+IF($D7&gt;0,MIN($N$3,$D7*(1+$D$2)),0)+IF($E7&gt;0,MIN($O$3,$E7*(1+$E$2)),0)+IF($F7&gt;0,MIN($P$3,$F7*(1+$F$2)),0)+IF($G7&gt;0,MIN($Q$3,$G7*(1+$G$2)),0)+IF($H7&gt;0,MIN($R$3,$H7*(1+$H$2)),0)+IF($I7&gt;0,MIN($S$3,$I7*(1+$I$2)),0)+IF($J7&gt;0,MIN($T$3,$J7*(1+$J$2)),0)+IF($L7&gt;0,MIN($V$3,$L7*(1+$L$2)),0)))),MIN($U$3,$K7*(1+K$2))))</f>
        <v/>
      </c>
      <c r="V8" s="37">
        <f>IF($L7&lt;=0,0,IF($Y8=10,MIN($L7*(1+L$2),MAX(0,$B8-(IF($C7&gt;0,MIN($M$3,$C7*(1+$C$2)),0)+IF($D7&gt;0,MIN($N$3,$D7*(1+$D$2)),0)+IF($E7&gt;0,MIN($O$3,$E7*(1+$E$2)),0)+IF($F7&gt;0,MIN($P$3,$F7*(1+$F$2)),0)+IF($G7&gt;0,MIN($Q$3,$G7*(1+$G$2)),0)+IF($H7&gt;0,MIN($R$3,$H7*(1+$H$2)),0)+IF($I7&gt;0,MIN($S$3,$I7*(1+$I$2)),0)+IF($J7&gt;0,MIN($T$3,$J7*(1+$J$2)),0)+IF($K7&gt;0,MIN($U$3,$K7*(1+$K$2)),0)))),MIN($V$3,$L7*(1+L$2))))</f>
        <v/>
      </c>
      <c r="W8" s="37">
        <f>ROUND(SUMPRODUCT($C7:$L7,$C$2:$L$2),2)</f>
        <v/>
      </c>
      <c r="X8" s="37">
        <f>SUM($C8:$L8)</f>
        <v/>
      </c>
      <c r="Y8" s="42">
        <f>IF($X7=0,"",MIN(IF($C7&gt;0,1,'My Debts'!$B$13+1),IF($D7&gt;0,2,'My Debts'!$B$13+1),IF($E7&gt;0,3,'My Debts'!$B$13+1),IF($F7&gt;0,4,'My Debts'!$B$13+1),IF($G7&gt;0,5,'My Debts'!$B$13+1),IF($H7&gt;0,6,'My Debts'!$B$13+1),IF($I7&gt;0,7,'My Debts'!$B$13+1),IF($J7&gt;0,8,'My Debts'!$B$13+1),IF($K7&gt;0,9,'My Debts'!$B$13+1),IF($L7&gt;0,10,'My Debts'!$B$13+1)))</f>
        <v/>
      </c>
    </row>
    <row r="9" ht="18" customHeight="1" s="44">
      <c r="A9" s="42" t="n">
        <v>4</v>
      </c>
      <c r="B9" s="37">
        <f>IF($X8&gt;0,'My Debts'!$B$8,0)</f>
        <v/>
      </c>
      <c r="C9" s="37">
        <f>ROUND(MAX(0,$C8*(1+C$2)-M9),2)</f>
        <v/>
      </c>
      <c r="D9" s="37">
        <f>ROUND(MAX(0,$D8*(1+D$2)-N9),2)</f>
        <v/>
      </c>
      <c r="E9" s="37">
        <f>ROUND(MAX(0,$E8*(1+E$2)-O9),2)</f>
        <v/>
      </c>
      <c r="F9" s="37">
        <f>ROUND(MAX(0,$F8*(1+F$2)-P9),2)</f>
        <v/>
      </c>
      <c r="G9" s="37">
        <f>ROUND(MAX(0,$G8*(1+G$2)-Q9),2)</f>
        <v/>
      </c>
      <c r="H9" s="37">
        <f>ROUND(MAX(0,$H8*(1+H$2)-R9),2)</f>
        <v/>
      </c>
      <c r="I9" s="37">
        <f>ROUND(MAX(0,$I8*(1+I$2)-S9),2)</f>
        <v/>
      </c>
      <c r="J9" s="37">
        <f>ROUND(MAX(0,$J8*(1+J$2)-T9),2)</f>
        <v/>
      </c>
      <c r="K9" s="37">
        <f>ROUND(MAX(0,$K8*(1+K$2)-U9),2)</f>
        <v/>
      </c>
      <c r="L9" s="37">
        <f>ROUND(MAX(0,$L8*(1+L$2)-V9),2)</f>
        <v/>
      </c>
      <c r="M9" s="37">
        <f>IF($C8&lt;=0,0,IF($Y9=1,MIN($C8*(1+C$2),MAX(0,$B9-(IF($D8&gt;0,MIN($N$3,$D8*(1+$D$2)),0)+IF($E8&gt;0,MIN($O$3,$E8*(1+$E$2)),0)+IF($F8&gt;0,MIN($P$3,$F8*(1+$F$2)),0)+IF($G8&gt;0,MIN($Q$3,$G8*(1+$G$2)),0)+IF($H8&gt;0,MIN($R$3,$H8*(1+$H$2)),0)+IF($I8&gt;0,MIN($S$3,$I8*(1+$I$2)),0)+IF($J8&gt;0,MIN($T$3,$J8*(1+$J$2)),0)+IF($K8&gt;0,MIN($U$3,$K8*(1+$K$2)),0)+IF($L8&gt;0,MIN($V$3,$L8*(1+$L$2)),0)))),MIN($M$3,$C8*(1+C$2))))</f>
        <v/>
      </c>
      <c r="N9" s="37">
        <f>IF($D8&lt;=0,0,IF($Y9=2,MIN($D8*(1+D$2),MAX(0,$B9-(IF($C8&gt;0,MIN($M$3,$C8*(1+$C$2)),0)+IF($E8&gt;0,MIN($O$3,$E8*(1+$E$2)),0)+IF($F8&gt;0,MIN($P$3,$F8*(1+$F$2)),0)+IF($G8&gt;0,MIN($Q$3,$G8*(1+$G$2)),0)+IF($H8&gt;0,MIN($R$3,$H8*(1+$H$2)),0)+IF($I8&gt;0,MIN($S$3,$I8*(1+$I$2)),0)+IF($J8&gt;0,MIN($T$3,$J8*(1+$J$2)),0)+IF($K8&gt;0,MIN($U$3,$K8*(1+$K$2)),0)+IF($L8&gt;0,MIN($V$3,$L8*(1+$L$2)),0)))),MIN($N$3,$D8*(1+D$2))))</f>
        <v/>
      </c>
      <c r="O9" s="37">
        <f>IF($E8&lt;=0,0,IF($Y9=3,MIN($E8*(1+E$2),MAX(0,$B9-(IF($C8&gt;0,MIN($M$3,$C8*(1+$C$2)),0)+IF($D8&gt;0,MIN($N$3,$D8*(1+$D$2)),0)+IF($F8&gt;0,MIN($P$3,$F8*(1+$F$2)),0)+IF($G8&gt;0,MIN($Q$3,$G8*(1+$G$2)),0)+IF($H8&gt;0,MIN($R$3,$H8*(1+$H$2)),0)+IF($I8&gt;0,MIN($S$3,$I8*(1+$I$2)),0)+IF($J8&gt;0,MIN($T$3,$J8*(1+$J$2)),0)+IF($K8&gt;0,MIN($U$3,$K8*(1+$K$2)),0)+IF($L8&gt;0,MIN($V$3,$L8*(1+$L$2)),0)))),MIN($O$3,$E8*(1+E$2))))</f>
        <v/>
      </c>
      <c r="P9" s="37">
        <f>IF($F8&lt;=0,0,IF($Y9=4,MIN($F8*(1+F$2),MAX(0,$B9-(IF($C8&gt;0,MIN($M$3,$C8*(1+$C$2)),0)+IF($D8&gt;0,MIN($N$3,$D8*(1+$D$2)),0)+IF($E8&gt;0,MIN($O$3,$E8*(1+$E$2)),0)+IF($G8&gt;0,MIN($Q$3,$G8*(1+$G$2)),0)+IF($H8&gt;0,MIN($R$3,$H8*(1+$H$2)),0)+IF($I8&gt;0,MIN($S$3,$I8*(1+$I$2)),0)+IF($J8&gt;0,MIN($T$3,$J8*(1+$J$2)),0)+IF($K8&gt;0,MIN($U$3,$K8*(1+$K$2)),0)+IF($L8&gt;0,MIN($V$3,$L8*(1+$L$2)),0)))),MIN($P$3,$F8*(1+F$2))))</f>
        <v/>
      </c>
      <c r="Q9" s="37">
        <f>IF($G8&lt;=0,0,IF($Y9=5,MIN($G8*(1+G$2),MAX(0,$B9-(IF($C8&gt;0,MIN($M$3,$C8*(1+$C$2)),0)+IF($D8&gt;0,MIN($N$3,$D8*(1+$D$2)),0)+IF($E8&gt;0,MIN($O$3,$E8*(1+$E$2)),0)+IF($F8&gt;0,MIN($P$3,$F8*(1+$F$2)),0)+IF($H8&gt;0,MIN($R$3,$H8*(1+$H$2)),0)+IF($I8&gt;0,MIN($S$3,$I8*(1+$I$2)),0)+IF($J8&gt;0,MIN($T$3,$J8*(1+$J$2)),0)+IF($K8&gt;0,MIN($U$3,$K8*(1+$K$2)),0)+IF($L8&gt;0,MIN($V$3,$L8*(1+$L$2)),0)))),MIN($Q$3,$G8*(1+G$2))))</f>
        <v/>
      </c>
      <c r="R9" s="37">
        <f>IF($H8&lt;=0,0,IF($Y9=6,MIN($H8*(1+H$2),MAX(0,$B9-(IF($C8&gt;0,MIN($M$3,$C8*(1+$C$2)),0)+IF($D8&gt;0,MIN($N$3,$D8*(1+$D$2)),0)+IF($E8&gt;0,MIN($O$3,$E8*(1+$E$2)),0)+IF($F8&gt;0,MIN($P$3,$F8*(1+$F$2)),0)+IF($G8&gt;0,MIN($Q$3,$G8*(1+$G$2)),0)+IF($I8&gt;0,MIN($S$3,$I8*(1+$I$2)),0)+IF($J8&gt;0,MIN($T$3,$J8*(1+$J$2)),0)+IF($K8&gt;0,MIN($U$3,$K8*(1+$K$2)),0)+IF($L8&gt;0,MIN($V$3,$L8*(1+$L$2)),0)))),MIN($R$3,$H8*(1+H$2))))</f>
        <v/>
      </c>
      <c r="S9" s="37">
        <f>IF($I8&lt;=0,0,IF($Y9=7,MIN($I8*(1+I$2),MAX(0,$B9-(IF($C8&gt;0,MIN($M$3,$C8*(1+$C$2)),0)+IF($D8&gt;0,MIN($N$3,$D8*(1+$D$2)),0)+IF($E8&gt;0,MIN($O$3,$E8*(1+$E$2)),0)+IF($F8&gt;0,MIN($P$3,$F8*(1+$F$2)),0)+IF($G8&gt;0,MIN($Q$3,$G8*(1+$G$2)),0)+IF($H8&gt;0,MIN($R$3,$H8*(1+$H$2)),0)+IF($J8&gt;0,MIN($T$3,$J8*(1+$J$2)),0)+IF($K8&gt;0,MIN($U$3,$K8*(1+$K$2)),0)+IF($L8&gt;0,MIN($V$3,$L8*(1+$L$2)),0)))),MIN($S$3,$I8*(1+I$2))))</f>
        <v/>
      </c>
      <c r="T9" s="37">
        <f>IF($J8&lt;=0,0,IF($Y9=8,MIN($J8*(1+J$2),MAX(0,$B9-(IF($C8&gt;0,MIN($M$3,$C8*(1+$C$2)),0)+IF($D8&gt;0,MIN($N$3,$D8*(1+$D$2)),0)+IF($E8&gt;0,MIN($O$3,$E8*(1+$E$2)),0)+IF($F8&gt;0,MIN($P$3,$F8*(1+$F$2)),0)+IF($G8&gt;0,MIN($Q$3,$G8*(1+$G$2)),0)+IF($H8&gt;0,MIN($R$3,$H8*(1+$H$2)),0)+IF($I8&gt;0,MIN($S$3,$I8*(1+$I$2)),0)+IF($K8&gt;0,MIN($U$3,$K8*(1+$K$2)),0)+IF($L8&gt;0,MIN($V$3,$L8*(1+$L$2)),0)))),MIN($T$3,$J8*(1+J$2))))</f>
        <v/>
      </c>
      <c r="U9" s="37">
        <f>IF($K8&lt;=0,0,IF($Y9=9,MIN($K8*(1+K$2),MAX(0,$B9-(IF($C8&gt;0,MIN($M$3,$C8*(1+$C$2)),0)+IF($D8&gt;0,MIN($N$3,$D8*(1+$D$2)),0)+IF($E8&gt;0,MIN($O$3,$E8*(1+$E$2)),0)+IF($F8&gt;0,MIN($P$3,$F8*(1+$F$2)),0)+IF($G8&gt;0,MIN($Q$3,$G8*(1+$G$2)),0)+IF($H8&gt;0,MIN($R$3,$H8*(1+$H$2)),0)+IF($I8&gt;0,MIN($S$3,$I8*(1+$I$2)),0)+IF($J8&gt;0,MIN($T$3,$J8*(1+$J$2)),0)+IF($L8&gt;0,MIN($V$3,$L8*(1+$L$2)),0)))),MIN($U$3,$K8*(1+K$2))))</f>
        <v/>
      </c>
      <c r="V9" s="37">
        <f>IF($L8&lt;=0,0,IF($Y9=10,MIN($L8*(1+L$2),MAX(0,$B9-(IF($C8&gt;0,MIN($M$3,$C8*(1+$C$2)),0)+IF($D8&gt;0,MIN($N$3,$D8*(1+$D$2)),0)+IF($E8&gt;0,MIN($O$3,$E8*(1+$E$2)),0)+IF($F8&gt;0,MIN($P$3,$F8*(1+$F$2)),0)+IF($G8&gt;0,MIN($Q$3,$G8*(1+$G$2)),0)+IF($H8&gt;0,MIN($R$3,$H8*(1+$H$2)),0)+IF($I8&gt;0,MIN($S$3,$I8*(1+$I$2)),0)+IF($J8&gt;0,MIN($T$3,$J8*(1+$J$2)),0)+IF($K8&gt;0,MIN($U$3,$K8*(1+$K$2)),0)))),MIN($V$3,$L8*(1+L$2))))</f>
        <v/>
      </c>
      <c r="W9" s="37">
        <f>ROUND(SUMPRODUCT($C8:$L8,$C$2:$L$2),2)</f>
        <v/>
      </c>
      <c r="X9" s="37">
        <f>SUM($C9:$L9)</f>
        <v/>
      </c>
      <c r="Y9" s="42">
        <f>IF($X8=0,"",MIN(IF($C8&gt;0,1,'My Debts'!$B$13+1),IF($D8&gt;0,2,'My Debts'!$B$13+1),IF($E8&gt;0,3,'My Debts'!$B$13+1),IF($F8&gt;0,4,'My Debts'!$B$13+1),IF($G8&gt;0,5,'My Debts'!$B$13+1),IF($H8&gt;0,6,'My Debts'!$B$13+1),IF($I8&gt;0,7,'My Debts'!$B$13+1),IF($J8&gt;0,8,'My Debts'!$B$13+1),IF($K8&gt;0,9,'My Debts'!$B$13+1),IF($L8&gt;0,10,'My Debts'!$B$13+1)))</f>
        <v/>
      </c>
    </row>
    <row r="10" ht="18" customHeight="1" s="44">
      <c r="A10" s="42" t="n">
        <v>5</v>
      </c>
      <c r="B10" s="37">
        <f>IF($X9&gt;0,'My Debts'!$B$8,0)</f>
        <v/>
      </c>
      <c r="C10" s="37">
        <f>ROUND(MAX(0,$C9*(1+C$2)-M10),2)</f>
        <v/>
      </c>
      <c r="D10" s="37">
        <f>ROUND(MAX(0,$D9*(1+D$2)-N10),2)</f>
        <v/>
      </c>
      <c r="E10" s="37">
        <f>ROUND(MAX(0,$E9*(1+E$2)-O10),2)</f>
        <v/>
      </c>
      <c r="F10" s="37">
        <f>ROUND(MAX(0,$F9*(1+F$2)-P10),2)</f>
        <v/>
      </c>
      <c r="G10" s="37">
        <f>ROUND(MAX(0,$G9*(1+G$2)-Q10),2)</f>
        <v/>
      </c>
      <c r="H10" s="37">
        <f>ROUND(MAX(0,$H9*(1+H$2)-R10),2)</f>
        <v/>
      </c>
      <c r="I10" s="37">
        <f>ROUND(MAX(0,$I9*(1+I$2)-S10),2)</f>
        <v/>
      </c>
      <c r="J10" s="37">
        <f>ROUND(MAX(0,$J9*(1+J$2)-T10),2)</f>
        <v/>
      </c>
      <c r="K10" s="37">
        <f>ROUND(MAX(0,$K9*(1+K$2)-U10),2)</f>
        <v/>
      </c>
      <c r="L10" s="37">
        <f>ROUND(MAX(0,$L9*(1+L$2)-V10),2)</f>
        <v/>
      </c>
      <c r="M10" s="37">
        <f>IF($C9&lt;=0,0,IF($Y10=1,MIN($C9*(1+C$2),MAX(0,$B10-(IF($D9&gt;0,MIN($N$3,$D9*(1+$D$2)),0)+IF($E9&gt;0,MIN($O$3,$E9*(1+$E$2)),0)+IF($F9&gt;0,MIN($P$3,$F9*(1+$F$2)),0)+IF($G9&gt;0,MIN($Q$3,$G9*(1+$G$2)),0)+IF($H9&gt;0,MIN($R$3,$H9*(1+$H$2)),0)+IF($I9&gt;0,MIN($S$3,$I9*(1+$I$2)),0)+IF($J9&gt;0,MIN($T$3,$J9*(1+$J$2)),0)+IF($K9&gt;0,MIN($U$3,$K9*(1+$K$2)),0)+IF($L9&gt;0,MIN($V$3,$L9*(1+$L$2)),0)))),MIN($M$3,$C9*(1+C$2))))</f>
        <v/>
      </c>
      <c r="N10" s="37">
        <f>IF($D9&lt;=0,0,IF($Y10=2,MIN($D9*(1+D$2),MAX(0,$B10-(IF($C9&gt;0,MIN($M$3,$C9*(1+$C$2)),0)+IF($E9&gt;0,MIN($O$3,$E9*(1+$E$2)),0)+IF($F9&gt;0,MIN($P$3,$F9*(1+$F$2)),0)+IF($G9&gt;0,MIN($Q$3,$G9*(1+$G$2)),0)+IF($H9&gt;0,MIN($R$3,$H9*(1+$H$2)),0)+IF($I9&gt;0,MIN($S$3,$I9*(1+$I$2)),0)+IF($J9&gt;0,MIN($T$3,$J9*(1+$J$2)),0)+IF($K9&gt;0,MIN($U$3,$K9*(1+$K$2)),0)+IF($L9&gt;0,MIN($V$3,$L9*(1+$L$2)),0)))),MIN($N$3,$D9*(1+D$2))))</f>
        <v/>
      </c>
      <c r="O10" s="37">
        <f>IF($E9&lt;=0,0,IF($Y10=3,MIN($E9*(1+E$2),MAX(0,$B10-(IF($C9&gt;0,MIN($M$3,$C9*(1+$C$2)),0)+IF($D9&gt;0,MIN($N$3,$D9*(1+$D$2)),0)+IF($F9&gt;0,MIN($P$3,$F9*(1+$F$2)),0)+IF($G9&gt;0,MIN($Q$3,$G9*(1+$G$2)),0)+IF($H9&gt;0,MIN($R$3,$H9*(1+$H$2)),0)+IF($I9&gt;0,MIN($S$3,$I9*(1+$I$2)),0)+IF($J9&gt;0,MIN($T$3,$J9*(1+$J$2)),0)+IF($K9&gt;0,MIN($U$3,$K9*(1+$K$2)),0)+IF($L9&gt;0,MIN($V$3,$L9*(1+$L$2)),0)))),MIN($O$3,$E9*(1+E$2))))</f>
        <v/>
      </c>
      <c r="P10" s="37">
        <f>IF($F9&lt;=0,0,IF($Y10=4,MIN($F9*(1+F$2),MAX(0,$B10-(IF($C9&gt;0,MIN($M$3,$C9*(1+$C$2)),0)+IF($D9&gt;0,MIN($N$3,$D9*(1+$D$2)),0)+IF($E9&gt;0,MIN($O$3,$E9*(1+$E$2)),0)+IF($G9&gt;0,MIN($Q$3,$G9*(1+$G$2)),0)+IF($H9&gt;0,MIN($R$3,$H9*(1+$H$2)),0)+IF($I9&gt;0,MIN($S$3,$I9*(1+$I$2)),0)+IF($J9&gt;0,MIN($T$3,$J9*(1+$J$2)),0)+IF($K9&gt;0,MIN($U$3,$K9*(1+$K$2)),0)+IF($L9&gt;0,MIN($V$3,$L9*(1+$L$2)),0)))),MIN($P$3,$F9*(1+F$2))))</f>
        <v/>
      </c>
      <c r="Q10" s="37">
        <f>IF($G9&lt;=0,0,IF($Y10=5,MIN($G9*(1+G$2),MAX(0,$B10-(IF($C9&gt;0,MIN($M$3,$C9*(1+$C$2)),0)+IF($D9&gt;0,MIN($N$3,$D9*(1+$D$2)),0)+IF($E9&gt;0,MIN($O$3,$E9*(1+$E$2)),0)+IF($F9&gt;0,MIN($P$3,$F9*(1+$F$2)),0)+IF($H9&gt;0,MIN($R$3,$H9*(1+$H$2)),0)+IF($I9&gt;0,MIN($S$3,$I9*(1+$I$2)),0)+IF($J9&gt;0,MIN($T$3,$J9*(1+$J$2)),0)+IF($K9&gt;0,MIN($U$3,$K9*(1+$K$2)),0)+IF($L9&gt;0,MIN($V$3,$L9*(1+$L$2)),0)))),MIN($Q$3,$G9*(1+G$2))))</f>
        <v/>
      </c>
      <c r="R10" s="37">
        <f>IF($H9&lt;=0,0,IF($Y10=6,MIN($H9*(1+H$2),MAX(0,$B10-(IF($C9&gt;0,MIN($M$3,$C9*(1+$C$2)),0)+IF($D9&gt;0,MIN($N$3,$D9*(1+$D$2)),0)+IF($E9&gt;0,MIN($O$3,$E9*(1+$E$2)),0)+IF($F9&gt;0,MIN($P$3,$F9*(1+$F$2)),0)+IF($G9&gt;0,MIN($Q$3,$G9*(1+$G$2)),0)+IF($I9&gt;0,MIN($S$3,$I9*(1+$I$2)),0)+IF($J9&gt;0,MIN($T$3,$J9*(1+$J$2)),0)+IF($K9&gt;0,MIN($U$3,$K9*(1+$K$2)),0)+IF($L9&gt;0,MIN($V$3,$L9*(1+$L$2)),0)))),MIN($R$3,$H9*(1+H$2))))</f>
        <v/>
      </c>
      <c r="S10" s="37">
        <f>IF($I9&lt;=0,0,IF($Y10=7,MIN($I9*(1+I$2),MAX(0,$B10-(IF($C9&gt;0,MIN($M$3,$C9*(1+$C$2)),0)+IF($D9&gt;0,MIN($N$3,$D9*(1+$D$2)),0)+IF($E9&gt;0,MIN($O$3,$E9*(1+$E$2)),0)+IF($F9&gt;0,MIN($P$3,$F9*(1+$F$2)),0)+IF($G9&gt;0,MIN($Q$3,$G9*(1+$G$2)),0)+IF($H9&gt;0,MIN($R$3,$H9*(1+$H$2)),0)+IF($J9&gt;0,MIN($T$3,$J9*(1+$J$2)),0)+IF($K9&gt;0,MIN($U$3,$K9*(1+$K$2)),0)+IF($L9&gt;0,MIN($V$3,$L9*(1+$L$2)),0)))),MIN($S$3,$I9*(1+I$2))))</f>
        <v/>
      </c>
      <c r="T10" s="37">
        <f>IF($J9&lt;=0,0,IF($Y10=8,MIN($J9*(1+J$2),MAX(0,$B10-(IF($C9&gt;0,MIN($M$3,$C9*(1+$C$2)),0)+IF($D9&gt;0,MIN($N$3,$D9*(1+$D$2)),0)+IF($E9&gt;0,MIN($O$3,$E9*(1+$E$2)),0)+IF($F9&gt;0,MIN($P$3,$F9*(1+$F$2)),0)+IF($G9&gt;0,MIN($Q$3,$G9*(1+$G$2)),0)+IF($H9&gt;0,MIN($R$3,$H9*(1+$H$2)),0)+IF($I9&gt;0,MIN($S$3,$I9*(1+$I$2)),0)+IF($K9&gt;0,MIN($U$3,$K9*(1+$K$2)),0)+IF($L9&gt;0,MIN($V$3,$L9*(1+$L$2)),0)))),MIN($T$3,$J9*(1+J$2))))</f>
        <v/>
      </c>
      <c r="U10" s="37">
        <f>IF($K9&lt;=0,0,IF($Y10=9,MIN($K9*(1+K$2),MAX(0,$B10-(IF($C9&gt;0,MIN($M$3,$C9*(1+$C$2)),0)+IF($D9&gt;0,MIN($N$3,$D9*(1+$D$2)),0)+IF($E9&gt;0,MIN($O$3,$E9*(1+$E$2)),0)+IF($F9&gt;0,MIN($P$3,$F9*(1+$F$2)),0)+IF($G9&gt;0,MIN($Q$3,$G9*(1+$G$2)),0)+IF($H9&gt;0,MIN($R$3,$H9*(1+$H$2)),0)+IF($I9&gt;0,MIN($S$3,$I9*(1+$I$2)),0)+IF($J9&gt;0,MIN($T$3,$J9*(1+$J$2)),0)+IF($L9&gt;0,MIN($V$3,$L9*(1+$L$2)),0)))),MIN($U$3,$K9*(1+K$2))))</f>
        <v/>
      </c>
      <c r="V10" s="37">
        <f>IF($L9&lt;=0,0,IF($Y10=10,MIN($L9*(1+L$2),MAX(0,$B10-(IF($C9&gt;0,MIN($M$3,$C9*(1+$C$2)),0)+IF($D9&gt;0,MIN($N$3,$D9*(1+$D$2)),0)+IF($E9&gt;0,MIN($O$3,$E9*(1+$E$2)),0)+IF($F9&gt;0,MIN($P$3,$F9*(1+$F$2)),0)+IF($G9&gt;0,MIN($Q$3,$G9*(1+$G$2)),0)+IF($H9&gt;0,MIN($R$3,$H9*(1+$H$2)),0)+IF($I9&gt;0,MIN($S$3,$I9*(1+$I$2)),0)+IF($J9&gt;0,MIN($T$3,$J9*(1+$J$2)),0)+IF($K9&gt;0,MIN($U$3,$K9*(1+$K$2)),0)))),MIN($V$3,$L9*(1+L$2))))</f>
        <v/>
      </c>
      <c r="W10" s="37">
        <f>ROUND(SUMPRODUCT($C9:$L9,$C$2:$L$2),2)</f>
        <v/>
      </c>
      <c r="X10" s="37">
        <f>SUM($C10:$L10)</f>
        <v/>
      </c>
      <c r="Y10" s="42">
        <f>IF($X9=0,"",MIN(IF($C9&gt;0,1,'My Debts'!$B$13+1),IF($D9&gt;0,2,'My Debts'!$B$13+1),IF($E9&gt;0,3,'My Debts'!$B$13+1),IF($F9&gt;0,4,'My Debts'!$B$13+1),IF($G9&gt;0,5,'My Debts'!$B$13+1),IF($H9&gt;0,6,'My Debts'!$B$13+1),IF($I9&gt;0,7,'My Debts'!$B$13+1),IF($J9&gt;0,8,'My Debts'!$B$13+1),IF($K9&gt;0,9,'My Debts'!$B$13+1),IF($L9&gt;0,10,'My Debts'!$B$13+1)))</f>
        <v/>
      </c>
    </row>
    <row r="11" ht="18" customHeight="1" s="44">
      <c r="A11" s="42" t="n">
        <v>6</v>
      </c>
      <c r="B11" s="37">
        <f>IF($X10&gt;0,'My Debts'!$B$8,0)</f>
        <v/>
      </c>
      <c r="C11" s="37">
        <f>ROUND(MAX(0,$C10*(1+C$2)-M11),2)</f>
        <v/>
      </c>
      <c r="D11" s="37">
        <f>ROUND(MAX(0,$D10*(1+D$2)-N11),2)</f>
        <v/>
      </c>
      <c r="E11" s="37">
        <f>ROUND(MAX(0,$E10*(1+E$2)-O11),2)</f>
        <v/>
      </c>
      <c r="F11" s="37">
        <f>ROUND(MAX(0,$F10*(1+F$2)-P11),2)</f>
        <v/>
      </c>
      <c r="G11" s="37">
        <f>ROUND(MAX(0,$G10*(1+G$2)-Q11),2)</f>
        <v/>
      </c>
      <c r="H11" s="37">
        <f>ROUND(MAX(0,$H10*(1+H$2)-R11),2)</f>
        <v/>
      </c>
      <c r="I11" s="37">
        <f>ROUND(MAX(0,$I10*(1+I$2)-S11),2)</f>
        <v/>
      </c>
      <c r="J11" s="37">
        <f>ROUND(MAX(0,$J10*(1+J$2)-T11),2)</f>
        <v/>
      </c>
      <c r="K11" s="37">
        <f>ROUND(MAX(0,$K10*(1+K$2)-U11),2)</f>
        <v/>
      </c>
      <c r="L11" s="37">
        <f>ROUND(MAX(0,$L10*(1+L$2)-V11),2)</f>
        <v/>
      </c>
      <c r="M11" s="37">
        <f>IF($C10&lt;=0,0,IF($Y11=1,MIN($C10*(1+C$2),MAX(0,$B11-(IF($D10&gt;0,MIN($N$3,$D10*(1+$D$2)),0)+IF($E10&gt;0,MIN($O$3,$E10*(1+$E$2)),0)+IF($F10&gt;0,MIN($P$3,$F10*(1+$F$2)),0)+IF($G10&gt;0,MIN($Q$3,$G10*(1+$G$2)),0)+IF($H10&gt;0,MIN($R$3,$H10*(1+$H$2)),0)+IF($I10&gt;0,MIN($S$3,$I10*(1+$I$2)),0)+IF($J10&gt;0,MIN($T$3,$J10*(1+$J$2)),0)+IF($K10&gt;0,MIN($U$3,$K10*(1+$K$2)),0)+IF($L10&gt;0,MIN($V$3,$L10*(1+$L$2)),0)))),MIN($M$3,$C10*(1+C$2))))</f>
        <v/>
      </c>
      <c r="N11" s="37">
        <f>IF($D10&lt;=0,0,IF($Y11=2,MIN($D10*(1+D$2),MAX(0,$B11-(IF($C10&gt;0,MIN($M$3,$C10*(1+$C$2)),0)+IF($E10&gt;0,MIN($O$3,$E10*(1+$E$2)),0)+IF($F10&gt;0,MIN($P$3,$F10*(1+$F$2)),0)+IF($G10&gt;0,MIN($Q$3,$G10*(1+$G$2)),0)+IF($H10&gt;0,MIN($R$3,$H10*(1+$H$2)),0)+IF($I10&gt;0,MIN($S$3,$I10*(1+$I$2)),0)+IF($J10&gt;0,MIN($T$3,$J10*(1+$J$2)),0)+IF($K10&gt;0,MIN($U$3,$K10*(1+$K$2)),0)+IF($L10&gt;0,MIN($V$3,$L10*(1+$L$2)),0)))),MIN($N$3,$D10*(1+D$2))))</f>
        <v/>
      </c>
      <c r="O11" s="37">
        <f>IF($E10&lt;=0,0,IF($Y11=3,MIN($E10*(1+E$2),MAX(0,$B11-(IF($C10&gt;0,MIN($M$3,$C10*(1+$C$2)),0)+IF($D10&gt;0,MIN($N$3,$D10*(1+$D$2)),0)+IF($F10&gt;0,MIN($P$3,$F10*(1+$F$2)),0)+IF($G10&gt;0,MIN($Q$3,$G10*(1+$G$2)),0)+IF($H10&gt;0,MIN($R$3,$H10*(1+$H$2)),0)+IF($I10&gt;0,MIN($S$3,$I10*(1+$I$2)),0)+IF($J10&gt;0,MIN($T$3,$J10*(1+$J$2)),0)+IF($K10&gt;0,MIN($U$3,$K10*(1+$K$2)),0)+IF($L10&gt;0,MIN($V$3,$L10*(1+$L$2)),0)))),MIN($O$3,$E10*(1+E$2))))</f>
        <v/>
      </c>
      <c r="P11" s="37">
        <f>IF($F10&lt;=0,0,IF($Y11=4,MIN($F10*(1+F$2),MAX(0,$B11-(IF($C10&gt;0,MIN($M$3,$C10*(1+$C$2)),0)+IF($D10&gt;0,MIN($N$3,$D10*(1+$D$2)),0)+IF($E10&gt;0,MIN($O$3,$E10*(1+$E$2)),0)+IF($G10&gt;0,MIN($Q$3,$G10*(1+$G$2)),0)+IF($H10&gt;0,MIN($R$3,$H10*(1+$H$2)),0)+IF($I10&gt;0,MIN($S$3,$I10*(1+$I$2)),0)+IF($J10&gt;0,MIN($T$3,$J10*(1+$J$2)),0)+IF($K10&gt;0,MIN($U$3,$K10*(1+$K$2)),0)+IF($L10&gt;0,MIN($V$3,$L10*(1+$L$2)),0)))),MIN($P$3,$F10*(1+F$2))))</f>
        <v/>
      </c>
      <c r="Q11" s="37">
        <f>IF($G10&lt;=0,0,IF($Y11=5,MIN($G10*(1+G$2),MAX(0,$B11-(IF($C10&gt;0,MIN($M$3,$C10*(1+$C$2)),0)+IF($D10&gt;0,MIN($N$3,$D10*(1+$D$2)),0)+IF($E10&gt;0,MIN($O$3,$E10*(1+$E$2)),0)+IF($F10&gt;0,MIN($P$3,$F10*(1+$F$2)),0)+IF($H10&gt;0,MIN($R$3,$H10*(1+$H$2)),0)+IF($I10&gt;0,MIN($S$3,$I10*(1+$I$2)),0)+IF($J10&gt;0,MIN($T$3,$J10*(1+$J$2)),0)+IF($K10&gt;0,MIN($U$3,$K10*(1+$K$2)),0)+IF($L10&gt;0,MIN($V$3,$L10*(1+$L$2)),0)))),MIN($Q$3,$G10*(1+G$2))))</f>
        <v/>
      </c>
      <c r="R11" s="37">
        <f>IF($H10&lt;=0,0,IF($Y11=6,MIN($H10*(1+H$2),MAX(0,$B11-(IF($C10&gt;0,MIN($M$3,$C10*(1+$C$2)),0)+IF($D10&gt;0,MIN($N$3,$D10*(1+$D$2)),0)+IF($E10&gt;0,MIN($O$3,$E10*(1+$E$2)),0)+IF($F10&gt;0,MIN($P$3,$F10*(1+$F$2)),0)+IF($G10&gt;0,MIN($Q$3,$G10*(1+$G$2)),0)+IF($I10&gt;0,MIN($S$3,$I10*(1+$I$2)),0)+IF($J10&gt;0,MIN($T$3,$J10*(1+$J$2)),0)+IF($K10&gt;0,MIN($U$3,$K10*(1+$K$2)),0)+IF($L10&gt;0,MIN($V$3,$L10*(1+$L$2)),0)))),MIN($R$3,$H10*(1+H$2))))</f>
        <v/>
      </c>
      <c r="S11" s="37">
        <f>IF($I10&lt;=0,0,IF($Y11=7,MIN($I10*(1+I$2),MAX(0,$B11-(IF($C10&gt;0,MIN($M$3,$C10*(1+$C$2)),0)+IF($D10&gt;0,MIN($N$3,$D10*(1+$D$2)),0)+IF($E10&gt;0,MIN($O$3,$E10*(1+$E$2)),0)+IF($F10&gt;0,MIN($P$3,$F10*(1+$F$2)),0)+IF($G10&gt;0,MIN($Q$3,$G10*(1+$G$2)),0)+IF($H10&gt;0,MIN($R$3,$H10*(1+$H$2)),0)+IF($J10&gt;0,MIN($T$3,$J10*(1+$J$2)),0)+IF($K10&gt;0,MIN($U$3,$K10*(1+$K$2)),0)+IF($L10&gt;0,MIN($V$3,$L10*(1+$L$2)),0)))),MIN($S$3,$I10*(1+I$2))))</f>
        <v/>
      </c>
      <c r="T11" s="37">
        <f>IF($J10&lt;=0,0,IF($Y11=8,MIN($J10*(1+J$2),MAX(0,$B11-(IF($C10&gt;0,MIN($M$3,$C10*(1+$C$2)),0)+IF($D10&gt;0,MIN($N$3,$D10*(1+$D$2)),0)+IF($E10&gt;0,MIN($O$3,$E10*(1+$E$2)),0)+IF($F10&gt;0,MIN($P$3,$F10*(1+$F$2)),0)+IF($G10&gt;0,MIN($Q$3,$G10*(1+$G$2)),0)+IF($H10&gt;0,MIN($R$3,$H10*(1+$H$2)),0)+IF($I10&gt;0,MIN($S$3,$I10*(1+$I$2)),0)+IF($K10&gt;0,MIN($U$3,$K10*(1+$K$2)),0)+IF($L10&gt;0,MIN($V$3,$L10*(1+$L$2)),0)))),MIN($T$3,$J10*(1+J$2))))</f>
        <v/>
      </c>
      <c r="U11" s="37">
        <f>IF($K10&lt;=0,0,IF($Y11=9,MIN($K10*(1+K$2),MAX(0,$B11-(IF($C10&gt;0,MIN($M$3,$C10*(1+$C$2)),0)+IF($D10&gt;0,MIN($N$3,$D10*(1+$D$2)),0)+IF($E10&gt;0,MIN($O$3,$E10*(1+$E$2)),0)+IF($F10&gt;0,MIN($P$3,$F10*(1+$F$2)),0)+IF($G10&gt;0,MIN($Q$3,$G10*(1+$G$2)),0)+IF($H10&gt;0,MIN($R$3,$H10*(1+$H$2)),0)+IF($I10&gt;0,MIN($S$3,$I10*(1+$I$2)),0)+IF($J10&gt;0,MIN($T$3,$J10*(1+$J$2)),0)+IF($L10&gt;0,MIN($V$3,$L10*(1+$L$2)),0)))),MIN($U$3,$K10*(1+K$2))))</f>
        <v/>
      </c>
      <c r="V11" s="37">
        <f>IF($L10&lt;=0,0,IF($Y11=10,MIN($L10*(1+L$2),MAX(0,$B11-(IF($C10&gt;0,MIN($M$3,$C10*(1+$C$2)),0)+IF($D10&gt;0,MIN($N$3,$D10*(1+$D$2)),0)+IF($E10&gt;0,MIN($O$3,$E10*(1+$E$2)),0)+IF($F10&gt;0,MIN($P$3,$F10*(1+$F$2)),0)+IF($G10&gt;0,MIN($Q$3,$G10*(1+$G$2)),0)+IF($H10&gt;0,MIN($R$3,$H10*(1+$H$2)),0)+IF($I10&gt;0,MIN($S$3,$I10*(1+$I$2)),0)+IF($J10&gt;0,MIN($T$3,$J10*(1+$J$2)),0)+IF($K10&gt;0,MIN($U$3,$K10*(1+$K$2)),0)))),MIN($V$3,$L10*(1+L$2))))</f>
        <v/>
      </c>
      <c r="W11" s="37">
        <f>ROUND(SUMPRODUCT($C10:$L10,$C$2:$L$2),2)</f>
        <v/>
      </c>
      <c r="X11" s="37">
        <f>SUM($C11:$L11)</f>
        <v/>
      </c>
      <c r="Y11" s="42">
        <f>IF($X10=0,"",MIN(IF($C10&gt;0,1,'My Debts'!$B$13+1),IF($D10&gt;0,2,'My Debts'!$B$13+1),IF($E10&gt;0,3,'My Debts'!$B$13+1),IF($F10&gt;0,4,'My Debts'!$B$13+1),IF($G10&gt;0,5,'My Debts'!$B$13+1),IF($H10&gt;0,6,'My Debts'!$B$13+1),IF($I10&gt;0,7,'My Debts'!$B$13+1),IF($J10&gt;0,8,'My Debts'!$B$13+1),IF($K10&gt;0,9,'My Debts'!$B$13+1),IF($L10&gt;0,10,'My Debts'!$B$13+1)))</f>
        <v/>
      </c>
    </row>
    <row r="12" ht="18" customHeight="1" s="44">
      <c r="A12" s="42" t="n">
        <v>7</v>
      </c>
      <c r="B12" s="37">
        <f>IF($X11&gt;0,'My Debts'!$B$8,0)</f>
        <v/>
      </c>
      <c r="C12" s="37">
        <f>ROUND(MAX(0,$C11*(1+C$2)-M12),2)</f>
        <v/>
      </c>
      <c r="D12" s="37">
        <f>ROUND(MAX(0,$D11*(1+D$2)-N12),2)</f>
        <v/>
      </c>
      <c r="E12" s="37">
        <f>ROUND(MAX(0,$E11*(1+E$2)-O12),2)</f>
        <v/>
      </c>
      <c r="F12" s="37">
        <f>ROUND(MAX(0,$F11*(1+F$2)-P12),2)</f>
        <v/>
      </c>
      <c r="G12" s="37">
        <f>ROUND(MAX(0,$G11*(1+G$2)-Q12),2)</f>
        <v/>
      </c>
      <c r="H12" s="37">
        <f>ROUND(MAX(0,$H11*(1+H$2)-R12),2)</f>
        <v/>
      </c>
      <c r="I12" s="37">
        <f>ROUND(MAX(0,$I11*(1+I$2)-S12),2)</f>
        <v/>
      </c>
      <c r="J12" s="37">
        <f>ROUND(MAX(0,$J11*(1+J$2)-T12),2)</f>
        <v/>
      </c>
      <c r="K12" s="37">
        <f>ROUND(MAX(0,$K11*(1+K$2)-U12),2)</f>
        <v/>
      </c>
      <c r="L12" s="37">
        <f>ROUND(MAX(0,$L11*(1+L$2)-V12),2)</f>
        <v/>
      </c>
      <c r="M12" s="37">
        <f>IF($C11&lt;=0,0,IF($Y12=1,MIN($C11*(1+C$2),MAX(0,$B12-(IF($D11&gt;0,MIN($N$3,$D11*(1+$D$2)),0)+IF($E11&gt;0,MIN($O$3,$E11*(1+$E$2)),0)+IF($F11&gt;0,MIN($P$3,$F11*(1+$F$2)),0)+IF($G11&gt;0,MIN($Q$3,$G11*(1+$G$2)),0)+IF($H11&gt;0,MIN($R$3,$H11*(1+$H$2)),0)+IF($I11&gt;0,MIN($S$3,$I11*(1+$I$2)),0)+IF($J11&gt;0,MIN($T$3,$J11*(1+$J$2)),0)+IF($K11&gt;0,MIN($U$3,$K11*(1+$K$2)),0)+IF($L11&gt;0,MIN($V$3,$L11*(1+$L$2)),0)))),MIN($M$3,$C11*(1+C$2))))</f>
        <v/>
      </c>
      <c r="N12" s="37">
        <f>IF($D11&lt;=0,0,IF($Y12=2,MIN($D11*(1+D$2),MAX(0,$B12-(IF($C11&gt;0,MIN($M$3,$C11*(1+$C$2)),0)+IF($E11&gt;0,MIN($O$3,$E11*(1+$E$2)),0)+IF($F11&gt;0,MIN($P$3,$F11*(1+$F$2)),0)+IF($G11&gt;0,MIN($Q$3,$G11*(1+$G$2)),0)+IF($H11&gt;0,MIN($R$3,$H11*(1+$H$2)),0)+IF($I11&gt;0,MIN($S$3,$I11*(1+$I$2)),0)+IF($J11&gt;0,MIN($T$3,$J11*(1+$J$2)),0)+IF($K11&gt;0,MIN($U$3,$K11*(1+$K$2)),0)+IF($L11&gt;0,MIN($V$3,$L11*(1+$L$2)),0)))),MIN($N$3,$D11*(1+D$2))))</f>
        <v/>
      </c>
      <c r="O12" s="37">
        <f>IF($E11&lt;=0,0,IF($Y12=3,MIN($E11*(1+E$2),MAX(0,$B12-(IF($C11&gt;0,MIN($M$3,$C11*(1+$C$2)),0)+IF($D11&gt;0,MIN($N$3,$D11*(1+$D$2)),0)+IF($F11&gt;0,MIN($P$3,$F11*(1+$F$2)),0)+IF($G11&gt;0,MIN($Q$3,$G11*(1+$G$2)),0)+IF($H11&gt;0,MIN($R$3,$H11*(1+$H$2)),0)+IF($I11&gt;0,MIN($S$3,$I11*(1+$I$2)),0)+IF($J11&gt;0,MIN($T$3,$J11*(1+$J$2)),0)+IF($K11&gt;0,MIN($U$3,$K11*(1+$K$2)),0)+IF($L11&gt;0,MIN($V$3,$L11*(1+$L$2)),0)))),MIN($O$3,$E11*(1+E$2))))</f>
        <v/>
      </c>
      <c r="P12" s="37">
        <f>IF($F11&lt;=0,0,IF($Y12=4,MIN($F11*(1+F$2),MAX(0,$B12-(IF($C11&gt;0,MIN($M$3,$C11*(1+$C$2)),0)+IF($D11&gt;0,MIN($N$3,$D11*(1+$D$2)),0)+IF($E11&gt;0,MIN($O$3,$E11*(1+$E$2)),0)+IF($G11&gt;0,MIN($Q$3,$G11*(1+$G$2)),0)+IF($H11&gt;0,MIN($R$3,$H11*(1+$H$2)),0)+IF($I11&gt;0,MIN($S$3,$I11*(1+$I$2)),0)+IF($J11&gt;0,MIN($T$3,$J11*(1+$J$2)),0)+IF($K11&gt;0,MIN($U$3,$K11*(1+$K$2)),0)+IF($L11&gt;0,MIN($V$3,$L11*(1+$L$2)),0)))),MIN($P$3,$F11*(1+F$2))))</f>
        <v/>
      </c>
      <c r="Q12" s="37">
        <f>IF($G11&lt;=0,0,IF($Y12=5,MIN($G11*(1+G$2),MAX(0,$B12-(IF($C11&gt;0,MIN($M$3,$C11*(1+$C$2)),0)+IF($D11&gt;0,MIN($N$3,$D11*(1+$D$2)),0)+IF($E11&gt;0,MIN($O$3,$E11*(1+$E$2)),0)+IF($F11&gt;0,MIN($P$3,$F11*(1+$F$2)),0)+IF($H11&gt;0,MIN($R$3,$H11*(1+$H$2)),0)+IF($I11&gt;0,MIN($S$3,$I11*(1+$I$2)),0)+IF($J11&gt;0,MIN($T$3,$J11*(1+$J$2)),0)+IF($K11&gt;0,MIN($U$3,$K11*(1+$K$2)),0)+IF($L11&gt;0,MIN($V$3,$L11*(1+$L$2)),0)))),MIN($Q$3,$G11*(1+G$2))))</f>
        <v/>
      </c>
      <c r="R12" s="37">
        <f>IF($H11&lt;=0,0,IF($Y12=6,MIN($H11*(1+H$2),MAX(0,$B12-(IF($C11&gt;0,MIN($M$3,$C11*(1+$C$2)),0)+IF($D11&gt;0,MIN($N$3,$D11*(1+$D$2)),0)+IF($E11&gt;0,MIN($O$3,$E11*(1+$E$2)),0)+IF($F11&gt;0,MIN($P$3,$F11*(1+$F$2)),0)+IF($G11&gt;0,MIN($Q$3,$G11*(1+$G$2)),0)+IF($I11&gt;0,MIN($S$3,$I11*(1+$I$2)),0)+IF($J11&gt;0,MIN($T$3,$J11*(1+$J$2)),0)+IF($K11&gt;0,MIN($U$3,$K11*(1+$K$2)),0)+IF($L11&gt;0,MIN($V$3,$L11*(1+$L$2)),0)))),MIN($R$3,$H11*(1+H$2))))</f>
        <v/>
      </c>
      <c r="S12" s="37">
        <f>IF($I11&lt;=0,0,IF($Y12=7,MIN($I11*(1+I$2),MAX(0,$B12-(IF($C11&gt;0,MIN($M$3,$C11*(1+$C$2)),0)+IF($D11&gt;0,MIN($N$3,$D11*(1+$D$2)),0)+IF($E11&gt;0,MIN($O$3,$E11*(1+$E$2)),0)+IF($F11&gt;0,MIN($P$3,$F11*(1+$F$2)),0)+IF($G11&gt;0,MIN($Q$3,$G11*(1+$G$2)),0)+IF($H11&gt;0,MIN($R$3,$H11*(1+$H$2)),0)+IF($J11&gt;0,MIN($T$3,$J11*(1+$J$2)),0)+IF($K11&gt;0,MIN($U$3,$K11*(1+$K$2)),0)+IF($L11&gt;0,MIN($V$3,$L11*(1+$L$2)),0)))),MIN($S$3,$I11*(1+I$2))))</f>
        <v/>
      </c>
      <c r="T12" s="37">
        <f>IF($J11&lt;=0,0,IF($Y12=8,MIN($J11*(1+J$2),MAX(0,$B12-(IF($C11&gt;0,MIN($M$3,$C11*(1+$C$2)),0)+IF($D11&gt;0,MIN($N$3,$D11*(1+$D$2)),0)+IF($E11&gt;0,MIN($O$3,$E11*(1+$E$2)),0)+IF($F11&gt;0,MIN($P$3,$F11*(1+$F$2)),0)+IF($G11&gt;0,MIN($Q$3,$G11*(1+$G$2)),0)+IF($H11&gt;0,MIN($R$3,$H11*(1+$H$2)),0)+IF($I11&gt;0,MIN($S$3,$I11*(1+$I$2)),0)+IF($K11&gt;0,MIN($U$3,$K11*(1+$K$2)),0)+IF($L11&gt;0,MIN($V$3,$L11*(1+$L$2)),0)))),MIN($T$3,$J11*(1+J$2))))</f>
        <v/>
      </c>
      <c r="U12" s="37">
        <f>IF($K11&lt;=0,0,IF($Y12=9,MIN($K11*(1+K$2),MAX(0,$B12-(IF($C11&gt;0,MIN($M$3,$C11*(1+$C$2)),0)+IF($D11&gt;0,MIN($N$3,$D11*(1+$D$2)),0)+IF($E11&gt;0,MIN($O$3,$E11*(1+$E$2)),0)+IF($F11&gt;0,MIN($P$3,$F11*(1+$F$2)),0)+IF($G11&gt;0,MIN($Q$3,$G11*(1+$G$2)),0)+IF($H11&gt;0,MIN($R$3,$H11*(1+$H$2)),0)+IF($I11&gt;0,MIN($S$3,$I11*(1+$I$2)),0)+IF($J11&gt;0,MIN($T$3,$J11*(1+$J$2)),0)+IF($L11&gt;0,MIN($V$3,$L11*(1+$L$2)),0)))),MIN($U$3,$K11*(1+K$2))))</f>
        <v/>
      </c>
      <c r="V12" s="37">
        <f>IF($L11&lt;=0,0,IF($Y12=10,MIN($L11*(1+L$2),MAX(0,$B12-(IF($C11&gt;0,MIN($M$3,$C11*(1+$C$2)),0)+IF($D11&gt;0,MIN($N$3,$D11*(1+$D$2)),0)+IF($E11&gt;0,MIN($O$3,$E11*(1+$E$2)),0)+IF($F11&gt;0,MIN($P$3,$F11*(1+$F$2)),0)+IF($G11&gt;0,MIN($Q$3,$G11*(1+$G$2)),0)+IF($H11&gt;0,MIN($R$3,$H11*(1+$H$2)),0)+IF($I11&gt;0,MIN($S$3,$I11*(1+$I$2)),0)+IF($J11&gt;0,MIN($T$3,$J11*(1+$J$2)),0)+IF($K11&gt;0,MIN($U$3,$K11*(1+$K$2)),0)))),MIN($V$3,$L11*(1+L$2))))</f>
        <v/>
      </c>
      <c r="W12" s="37">
        <f>ROUND(SUMPRODUCT($C11:$L11,$C$2:$L$2),2)</f>
        <v/>
      </c>
      <c r="X12" s="37">
        <f>SUM($C12:$L12)</f>
        <v/>
      </c>
      <c r="Y12" s="42">
        <f>IF($X11=0,"",MIN(IF($C11&gt;0,1,'My Debts'!$B$13+1),IF($D11&gt;0,2,'My Debts'!$B$13+1),IF($E11&gt;0,3,'My Debts'!$B$13+1),IF($F11&gt;0,4,'My Debts'!$B$13+1),IF($G11&gt;0,5,'My Debts'!$B$13+1),IF($H11&gt;0,6,'My Debts'!$B$13+1),IF($I11&gt;0,7,'My Debts'!$B$13+1),IF($J11&gt;0,8,'My Debts'!$B$13+1),IF($K11&gt;0,9,'My Debts'!$B$13+1),IF($L11&gt;0,10,'My Debts'!$B$13+1)))</f>
        <v/>
      </c>
    </row>
    <row r="13" ht="18" customHeight="1" s="44">
      <c r="A13" s="42" t="n">
        <v>8</v>
      </c>
      <c r="B13" s="37">
        <f>IF($X12&gt;0,'My Debts'!$B$8,0)</f>
        <v/>
      </c>
      <c r="C13" s="37">
        <f>ROUND(MAX(0,$C12*(1+C$2)-M13),2)</f>
        <v/>
      </c>
      <c r="D13" s="37">
        <f>ROUND(MAX(0,$D12*(1+D$2)-N13),2)</f>
        <v/>
      </c>
      <c r="E13" s="37">
        <f>ROUND(MAX(0,$E12*(1+E$2)-O13),2)</f>
        <v/>
      </c>
      <c r="F13" s="37">
        <f>ROUND(MAX(0,$F12*(1+F$2)-P13),2)</f>
        <v/>
      </c>
      <c r="G13" s="37">
        <f>ROUND(MAX(0,$G12*(1+G$2)-Q13),2)</f>
        <v/>
      </c>
      <c r="H13" s="37">
        <f>ROUND(MAX(0,$H12*(1+H$2)-R13),2)</f>
        <v/>
      </c>
      <c r="I13" s="37">
        <f>ROUND(MAX(0,$I12*(1+I$2)-S13),2)</f>
        <v/>
      </c>
      <c r="J13" s="37">
        <f>ROUND(MAX(0,$J12*(1+J$2)-T13),2)</f>
        <v/>
      </c>
      <c r="K13" s="37">
        <f>ROUND(MAX(0,$K12*(1+K$2)-U13),2)</f>
        <v/>
      </c>
      <c r="L13" s="37">
        <f>ROUND(MAX(0,$L12*(1+L$2)-V13),2)</f>
        <v/>
      </c>
      <c r="M13" s="37">
        <f>IF($C12&lt;=0,0,IF($Y13=1,MIN($C12*(1+C$2),MAX(0,$B13-(IF($D12&gt;0,MIN($N$3,$D12*(1+$D$2)),0)+IF($E12&gt;0,MIN($O$3,$E12*(1+$E$2)),0)+IF($F12&gt;0,MIN($P$3,$F12*(1+$F$2)),0)+IF($G12&gt;0,MIN($Q$3,$G12*(1+$G$2)),0)+IF($H12&gt;0,MIN($R$3,$H12*(1+$H$2)),0)+IF($I12&gt;0,MIN($S$3,$I12*(1+$I$2)),0)+IF($J12&gt;0,MIN($T$3,$J12*(1+$J$2)),0)+IF($K12&gt;0,MIN($U$3,$K12*(1+$K$2)),0)+IF($L12&gt;0,MIN($V$3,$L12*(1+$L$2)),0)))),MIN($M$3,$C12*(1+C$2))))</f>
        <v/>
      </c>
      <c r="N13" s="37">
        <f>IF($D12&lt;=0,0,IF($Y13=2,MIN($D12*(1+D$2),MAX(0,$B13-(IF($C12&gt;0,MIN($M$3,$C12*(1+$C$2)),0)+IF($E12&gt;0,MIN($O$3,$E12*(1+$E$2)),0)+IF($F12&gt;0,MIN($P$3,$F12*(1+$F$2)),0)+IF($G12&gt;0,MIN($Q$3,$G12*(1+$G$2)),0)+IF($H12&gt;0,MIN($R$3,$H12*(1+$H$2)),0)+IF($I12&gt;0,MIN($S$3,$I12*(1+$I$2)),0)+IF($J12&gt;0,MIN($T$3,$J12*(1+$J$2)),0)+IF($K12&gt;0,MIN($U$3,$K12*(1+$K$2)),0)+IF($L12&gt;0,MIN($V$3,$L12*(1+$L$2)),0)))),MIN($N$3,$D12*(1+D$2))))</f>
        <v/>
      </c>
      <c r="O13" s="37">
        <f>IF($E12&lt;=0,0,IF($Y13=3,MIN($E12*(1+E$2),MAX(0,$B13-(IF($C12&gt;0,MIN($M$3,$C12*(1+$C$2)),0)+IF($D12&gt;0,MIN($N$3,$D12*(1+$D$2)),0)+IF($F12&gt;0,MIN($P$3,$F12*(1+$F$2)),0)+IF($G12&gt;0,MIN($Q$3,$G12*(1+$G$2)),0)+IF($H12&gt;0,MIN($R$3,$H12*(1+$H$2)),0)+IF($I12&gt;0,MIN($S$3,$I12*(1+$I$2)),0)+IF($J12&gt;0,MIN($T$3,$J12*(1+$J$2)),0)+IF($K12&gt;0,MIN($U$3,$K12*(1+$K$2)),0)+IF($L12&gt;0,MIN($V$3,$L12*(1+$L$2)),0)))),MIN($O$3,$E12*(1+E$2))))</f>
        <v/>
      </c>
      <c r="P13" s="37">
        <f>IF($F12&lt;=0,0,IF($Y13=4,MIN($F12*(1+F$2),MAX(0,$B13-(IF($C12&gt;0,MIN($M$3,$C12*(1+$C$2)),0)+IF($D12&gt;0,MIN($N$3,$D12*(1+$D$2)),0)+IF($E12&gt;0,MIN($O$3,$E12*(1+$E$2)),0)+IF($G12&gt;0,MIN($Q$3,$G12*(1+$G$2)),0)+IF($H12&gt;0,MIN($R$3,$H12*(1+$H$2)),0)+IF($I12&gt;0,MIN($S$3,$I12*(1+$I$2)),0)+IF($J12&gt;0,MIN($T$3,$J12*(1+$J$2)),0)+IF($K12&gt;0,MIN($U$3,$K12*(1+$K$2)),0)+IF($L12&gt;0,MIN($V$3,$L12*(1+$L$2)),0)))),MIN($P$3,$F12*(1+F$2))))</f>
        <v/>
      </c>
      <c r="Q13" s="37">
        <f>IF($G12&lt;=0,0,IF($Y13=5,MIN($G12*(1+G$2),MAX(0,$B13-(IF($C12&gt;0,MIN($M$3,$C12*(1+$C$2)),0)+IF($D12&gt;0,MIN($N$3,$D12*(1+$D$2)),0)+IF($E12&gt;0,MIN($O$3,$E12*(1+$E$2)),0)+IF($F12&gt;0,MIN($P$3,$F12*(1+$F$2)),0)+IF($H12&gt;0,MIN($R$3,$H12*(1+$H$2)),0)+IF($I12&gt;0,MIN($S$3,$I12*(1+$I$2)),0)+IF($J12&gt;0,MIN($T$3,$J12*(1+$J$2)),0)+IF($K12&gt;0,MIN($U$3,$K12*(1+$K$2)),0)+IF($L12&gt;0,MIN($V$3,$L12*(1+$L$2)),0)))),MIN($Q$3,$G12*(1+G$2))))</f>
        <v/>
      </c>
      <c r="R13" s="37">
        <f>IF($H12&lt;=0,0,IF($Y13=6,MIN($H12*(1+H$2),MAX(0,$B13-(IF($C12&gt;0,MIN($M$3,$C12*(1+$C$2)),0)+IF($D12&gt;0,MIN($N$3,$D12*(1+$D$2)),0)+IF($E12&gt;0,MIN($O$3,$E12*(1+$E$2)),0)+IF($F12&gt;0,MIN($P$3,$F12*(1+$F$2)),0)+IF($G12&gt;0,MIN($Q$3,$G12*(1+$G$2)),0)+IF($I12&gt;0,MIN($S$3,$I12*(1+$I$2)),0)+IF($J12&gt;0,MIN($T$3,$J12*(1+$J$2)),0)+IF($K12&gt;0,MIN($U$3,$K12*(1+$K$2)),0)+IF($L12&gt;0,MIN($V$3,$L12*(1+$L$2)),0)))),MIN($R$3,$H12*(1+H$2))))</f>
        <v/>
      </c>
      <c r="S13" s="37">
        <f>IF($I12&lt;=0,0,IF($Y13=7,MIN($I12*(1+I$2),MAX(0,$B13-(IF($C12&gt;0,MIN($M$3,$C12*(1+$C$2)),0)+IF($D12&gt;0,MIN($N$3,$D12*(1+$D$2)),0)+IF($E12&gt;0,MIN($O$3,$E12*(1+$E$2)),0)+IF($F12&gt;0,MIN($P$3,$F12*(1+$F$2)),0)+IF($G12&gt;0,MIN($Q$3,$G12*(1+$G$2)),0)+IF($H12&gt;0,MIN($R$3,$H12*(1+$H$2)),0)+IF($J12&gt;0,MIN($T$3,$J12*(1+$J$2)),0)+IF($K12&gt;0,MIN($U$3,$K12*(1+$K$2)),0)+IF($L12&gt;0,MIN($V$3,$L12*(1+$L$2)),0)))),MIN($S$3,$I12*(1+I$2))))</f>
        <v/>
      </c>
      <c r="T13" s="37">
        <f>IF($J12&lt;=0,0,IF($Y13=8,MIN($J12*(1+J$2),MAX(0,$B13-(IF($C12&gt;0,MIN($M$3,$C12*(1+$C$2)),0)+IF($D12&gt;0,MIN($N$3,$D12*(1+$D$2)),0)+IF($E12&gt;0,MIN($O$3,$E12*(1+$E$2)),0)+IF($F12&gt;0,MIN($P$3,$F12*(1+$F$2)),0)+IF($G12&gt;0,MIN($Q$3,$G12*(1+$G$2)),0)+IF($H12&gt;0,MIN($R$3,$H12*(1+$H$2)),0)+IF($I12&gt;0,MIN($S$3,$I12*(1+$I$2)),0)+IF($K12&gt;0,MIN($U$3,$K12*(1+$K$2)),0)+IF($L12&gt;0,MIN($V$3,$L12*(1+$L$2)),0)))),MIN($T$3,$J12*(1+J$2))))</f>
        <v/>
      </c>
      <c r="U13" s="37">
        <f>IF($K12&lt;=0,0,IF($Y13=9,MIN($K12*(1+K$2),MAX(0,$B13-(IF($C12&gt;0,MIN($M$3,$C12*(1+$C$2)),0)+IF($D12&gt;0,MIN($N$3,$D12*(1+$D$2)),0)+IF($E12&gt;0,MIN($O$3,$E12*(1+$E$2)),0)+IF($F12&gt;0,MIN($P$3,$F12*(1+$F$2)),0)+IF($G12&gt;0,MIN($Q$3,$G12*(1+$G$2)),0)+IF($H12&gt;0,MIN($R$3,$H12*(1+$H$2)),0)+IF($I12&gt;0,MIN($S$3,$I12*(1+$I$2)),0)+IF($J12&gt;0,MIN($T$3,$J12*(1+$J$2)),0)+IF($L12&gt;0,MIN($V$3,$L12*(1+$L$2)),0)))),MIN($U$3,$K12*(1+K$2))))</f>
        <v/>
      </c>
      <c r="V13" s="37">
        <f>IF($L12&lt;=0,0,IF($Y13=10,MIN($L12*(1+L$2),MAX(0,$B13-(IF($C12&gt;0,MIN($M$3,$C12*(1+$C$2)),0)+IF($D12&gt;0,MIN($N$3,$D12*(1+$D$2)),0)+IF($E12&gt;0,MIN($O$3,$E12*(1+$E$2)),0)+IF($F12&gt;0,MIN($P$3,$F12*(1+$F$2)),0)+IF($G12&gt;0,MIN($Q$3,$G12*(1+$G$2)),0)+IF($H12&gt;0,MIN($R$3,$H12*(1+$H$2)),0)+IF($I12&gt;0,MIN($S$3,$I12*(1+$I$2)),0)+IF($J12&gt;0,MIN($T$3,$J12*(1+$J$2)),0)+IF($K12&gt;0,MIN($U$3,$K12*(1+$K$2)),0)))),MIN($V$3,$L12*(1+L$2))))</f>
        <v/>
      </c>
      <c r="W13" s="37">
        <f>ROUND(SUMPRODUCT($C12:$L12,$C$2:$L$2),2)</f>
        <v/>
      </c>
      <c r="X13" s="37">
        <f>SUM($C13:$L13)</f>
        <v/>
      </c>
      <c r="Y13" s="42">
        <f>IF($X12=0,"",MIN(IF($C12&gt;0,1,'My Debts'!$B$13+1),IF($D12&gt;0,2,'My Debts'!$B$13+1),IF($E12&gt;0,3,'My Debts'!$B$13+1),IF($F12&gt;0,4,'My Debts'!$B$13+1),IF($G12&gt;0,5,'My Debts'!$B$13+1),IF($H12&gt;0,6,'My Debts'!$B$13+1),IF($I12&gt;0,7,'My Debts'!$B$13+1),IF($J12&gt;0,8,'My Debts'!$B$13+1),IF($K12&gt;0,9,'My Debts'!$B$13+1),IF($L12&gt;0,10,'My Debts'!$B$13+1)))</f>
        <v/>
      </c>
    </row>
    <row r="14" ht="18" customHeight="1" s="44">
      <c r="A14" s="42" t="n">
        <v>9</v>
      </c>
      <c r="B14" s="37">
        <f>IF($X13&gt;0,'My Debts'!$B$8,0)</f>
        <v/>
      </c>
      <c r="C14" s="37">
        <f>ROUND(MAX(0,$C13*(1+C$2)-M14),2)</f>
        <v/>
      </c>
      <c r="D14" s="37">
        <f>ROUND(MAX(0,$D13*(1+D$2)-N14),2)</f>
        <v/>
      </c>
      <c r="E14" s="37">
        <f>ROUND(MAX(0,$E13*(1+E$2)-O14),2)</f>
        <v/>
      </c>
      <c r="F14" s="37">
        <f>ROUND(MAX(0,$F13*(1+F$2)-P14),2)</f>
        <v/>
      </c>
      <c r="G14" s="37">
        <f>ROUND(MAX(0,$G13*(1+G$2)-Q14),2)</f>
        <v/>
      </c>
      <c r="H14" s="37">
        <f>ROUND(MAX(0,$H13*(1+H$2)-R14),2)</f>
        <v/>
      </c>
      <c r="I14" s="37">
        <f>ROUND(MAX(0,$I13*(1+I$2)-S14),2)</f>
        <v/>
      </c>
      <c r="J14" s="37">
        <f>ROUND(MAX(0,$J13*(1+J$2)-T14),2)</f>
        <v/>
      </c>
      <c r="K14" s="37">
        <f>ROUND(MAX(0,$K13*(1+K$2)-U14),2)</f>
        <v/>
      </c>
      <c r="L14" s="37">
        <f>ROUND(MAX(0,$L13*(1+L$2)-V14),2)</f>
        <v/>
      </c>
      <c r="M14" s="37">
        <f>IF($C13&lt;=0,0,IF($Y14=1,MIN($C13*(1+C$2),MAX(0,$B14-(IF($D13&gt;0,MIN($N$3,$D13*(1+$D$2)),0)+IF($E13&gt;0,MIN($O$3,$E13*(1+$E$2)),0)+IF($F13&gt;0,MIN($P$3,$F13*(1+$F$2)),0)+IF($G13&gt;0,MIN($Q$3,$G13*(1+$G$2)),0)+IF($H13&gt;0,MIN($R$3,$H13*(1+$H$2)),0)+IF($I13&gt;0,MIN($S$3,$I13*(1+$I$2)),0)+IF($J13&gt;0,MIN($T$3,$J13*(1+$J$2)),0)+IF($K13&gt;0,MIN($U$3,$K13*(1+$K$2)),0)+IF($L13&gt;0,MIN($V$3,$L13*(1+$L$2)),0)))),MIN($M$3,$C13*(1+C$2))))</f>
        <v/>
      </c>
      <c r="N14" s="37">
        <f>IF($D13&lt;=0,0,IF($Y14=2,MIN($D13*(1+D$2),MAX(0,$B14-(IF($C13&gt;0,MIN($M$3,$C13*(1+$C$2)),0)+IF($E13&gt;0,MIN($O$3,$E13*(1+$E$2)),0)+IF($F13&gt;0,MIN($P$3,$F13*(1+$F$2)),0)+IF($G13&gt;0,MIN($Q$3,$G13*(1+$G$2)),0)+IF($H13&gt;0,MIN($R$3,$H13*(1+$H$2)),0)+IF($I13&gt;0,MIN($S$3,$I13*(1+$I$2)),0)+IF($J13&gt;0,MIN($T$3,$J13*(1+$J$2)),0)+IF($K13&gt;0,MIN($U$3,$K13*(1+$K$2)),0)+IF($L13&gt;0,MIN($V$3,$L13*(1+$L$2)),0)))),MIN($N$3,$D13*(1+D$2))))</f>
        <v/>
      </c>
      <c r="O14" s="37">
        <f>IF($E13&lt;=0,0,IF($Y14=3,MIN($E13*(1+E$2),MAX(0,$B14-(IF($C13&gt;0,MIN($M$3,$C13*(1+$C$2)),0)+IF($D13&gt;0,MIN($N$3,$D13*(1+$D$2)),0)+IF($F13&gt;0,MIN($P$3,$F13*(1+$F$2)),0)+IF($G13&gt;0,MIN($Q$3,$G13*(1+$G$2)),0)+IF($H13&gt;0,MIN($R$3,$H13*(1+$H$2)),0)+IF($I13&gt;0,MIN($S$3,$I13*(1+$I$2)),0)+IF($J13&gt;0,MIN($T$3,$J13*(1+$J$2)),0)+IF($K13&gt;0,MIN($U$3,$K13*(1+$K$2)),0)+IF($L13&gt;0,MIN($V$3,$L13*(1+$L$2)),0)))),MIN($O$3,$E13*(1+E$2))))</f>
        <v/>
      </c>
      <c r="P14" s="37">
        <f>IF($F13&lt;=0,0,IF($Y14=4,MIN($F13*(1+F$2),MAX(0,$B14-(IF($C13&gt;0,MIN($M$3,$C13*(1+$C$2)),0)+IF($D13&gt;0,MIN($N$3,$D13*(1+$D$2)),0)+IF($E13&gt;0,MIN($O$3,$E13*(1+$E$2)),0)+IF($G13&gt;0,MIN($Q$3,$G13*(1+$G$2)),0)+IF($H13&gt;0,MIN($R$3,$H13*(1+$H$2)),0)+IF($I13&gt;0,MIN($S$3,$I13*(1+$I$2)),0)+IF($J13&gt;0,MIN($T$3,$J13*(1+$J$2)),0)+IF($K13&gt;0,MIN($U$3,$K13*(1+$K$2)),0)+IF($L13&gt;0,MIN($V$3,$L13*(1+$L$2)),0)))),MIN($P$3,$F13*(1+F$2))))</f>
        <v/>
      </c>
      <c r="Q14" s="37">
        <f>IF($G13&lt;=0,0,IF($Y14=5,MIN($G13*(1+G$2),MAX(0,$B14-(IF($C13&gt;0,MIN($M$3,$C13*(1+$C$2)),0)+IF($D13&gt;0,MIN($N$3,$D13*(1+$D$2)),0)+IF($E13&gt;0,MIN($O$3,$E13*(1+$E$2)),0)+IF($F13&gt;0,MIN($P$3,$F13*(1+$F$2)),0)+IF($H13&gt;0,MIN($R$3,$H13*(1+$H$2)),0)+IF($I13&gt;0,MIN($S$3,$I13*(1+$I$2)),0)+IF($J13&gt;0,MIN($T$3,$J13*(1+$J$2)),0)+IF($K13&gt;0,MIN($U$3,$K13*(1+$K$2)),0)+IF($L13&gt;0,MIN($V$3,$L13*(1+$L$2)),0)))),MIN($Q$3,$G13*(1+G$2))))</f>
        <v/>
      </c>
      <c r="R14" s="37">
        <f>IF($H13&lt;=0,0,IF($Y14=6,MIN($H13*(1+H$2),MAX(0,$B14-(IF($C13&gt;0,MIN($M$3,$C13*(1+$C$2)),0)+IF($D13&gt;0,MIN($N$3,$D13*(1+$D$2)),0)+IF($E13&gt;0,MIN($O$3,$E13*(1+$E$2)),0)+IF($F13&gt;0,MIN($P$3,$F13*(1+$F$2)),0)+IF($G13&gt;0,MIN($Q$3,$G13*(1+$G$2)),0)+IF($I13&gt;0,MIN($S$3,$I13*(1+$I$2)),0)+IF($J13&gt;0,MIN($T$3,$J13*(1+$J$2)),0)+IF($K13&gt;0,MIN($U$3,$K13*(1+$K$2)),0)+IF($L13&gt;0,MIN($V$3,$L13*(1+$L$2)),0)))),MIN($R$3,$H13*(1+H$2))))</f>
        <v/>
      </c>
      <c r="S14" s="37">
        <f>IF($I13&lt;=0,0,IF($Y14=7,MIN($I13*(1+I$2),MAX(0,$B14-(IF($C13&gt;0,MIN($M$3,$C13*(1+$C$2)),0)+IF($D13&gt;0,MIN($N$3,$D13*(1+$D$2)),0)+IF($E13&gt;0,MIN($O$3,$E13*(1+$E$2)),0)+IF($F13&gt;0,MIN($P$3,$F13*(1+$F$2)),0)+IF($G13&gt;0,MIN($Q$3,$G13*(1+$G$2)),0)+IF($H13&gt;0,MIN($R$3,$H13*(1+$H$2)),0)+IF($J13&gt;0,MIN($T$3,$J13*(1+$J$2)),0)+IF($K13&gt;0,MIN($U$3,$K13*(1+$K$2)),0)+IF($L13&gt;0,MIN($V$3,$L13*(1+$L$2)),0)))),MIN($S$3,$I13*(1+I$2))))</f>
        <v/>
      </c>
      <c r="T14" s="37">
        <f>IF($J13&lt;=0,0,IF($Y14=8,MIN($J13*(1+J$2),MAX(0,$B14-(IF($C13&gt;0,MIN($M$3,$C13*(1+$C$2)),0)+IF($D13&gt;0,MIN($N$3,$D13*(1+$D$2)),0)+IF($E13&gt;0,MIN($O$3,$E13*(1+$E$2)),0)+IF($F13&gt;0,MIN($P$3,$F13*(1+$F$2)),0)+IF($G13&gt;0,MIN($Q$3,$G13*(1+$G$2)),0)+IF($H13&gt;0,MIN($R$3,$H13*(1+$H$2)),0)+IF($I13&gt;0,MIN($S$3,$I13*(1+$I$2)),0)+IF($K13&gt;0,MIN($U$3,$K13*(1+$K$2)),0)+IF($L13&gt;0,MIN($V$3,$L13*(1+$L$2)),0)))),MIN($T$3,$J13*(1+J$2))))</f>
        <v/>
      </c>
      <c r="U14" s="37">
        <f>IF($K13&lt;=0,0,IF($Y14=9,MIN($K13*(1+K$2),MAX(0,$B14-(IF($C13&gt;0,MIN($M$3,$C13*(1+$C$2)),0)+IF($D13&gt;0,MIN($N$3,$D13*(1+$D$2)),0)+IF($E13&gt;0,MIN($O$3,$E13*(1+$E$2)),0)+IF($F13&gt;0,MIN($P$3,$F13*(1+$F$2)),0)+IF($G13&gt;0,MIN($Q$3,$G13*(1+$G$2)),0)+IF($H13&gt;0,MIN($R$3,$H13*(1+$H$2)),0)+IF($I13&gt;0,MIN($S$3,$I13*(1+$I$2)),0)+IF($J13&gt;0,MIN($T$3,$J13*(1+$J$2)),0)+IF($L13&gt;0,MIN($V$3,$L13*(1+$L$2)),0)))),MIN($U$3,$K13*(1+K$2))))</f>
        <v/>
      </c>
      <c r="V14" s="37">
        <f>IF($L13&lt;=0,0,IF($Y14=10,MIN($L13*(1+L$2),MAX(0,$B14-(IF($C13&gt;0,MIN($M$3,$C13*(1+$C$2)),0)+IF($D13&gt;0,MIN($N$3,$D13*(1+$D$2)),0)+IF($E13&gt;0,MIN($O$3,$E13*(1+$E$2)),0)+IF($F13&gt;0,MIN($P$3,$F13*(1+$F$2)),0)+IF($G13&gt;0,MIN($Q$3,$G13*(1+$G$2)),0)+IF($H13&gt;0,MIN($R$3,$H13*(1+$H$2)),0)+IF($I13&gt;0,MIN($S$3,$I13*(1+$I$2)),0)+IF($J13&gt;0,MIN($T$3,$J13*(1+$J$2)),0)+IF($K13&gt;0,MIN($U$3,$K13*(1+$K$2)),0)))),MIN($V$3,$L13*(1+L$2))))</f>
        <v/>
      </c>
      <c r="W14" s="37">
        <f>ROUND(SUMPRODUCT($C13:$L13,$C$2:$L$2),2)</f>
        <v/>
      </c>
      <c r="X14" s="37">
        <f>SUM($C14:$L14)</f>
        <v/>
      </c>
      <c r="Y14" s="42">
        <f>IF($X13=0,"",MIN(IF($C13&gt;0,1,'My Debts'!$B$13+1),IF($D13&gt;0,2,'My Debts'!$B$13+1),IF($E13&gt;0,3,'My Debts'!$B$13+1),IF($F13&gt;0,4,'My Debts'!$B$13+1),IF($G13&gt;0,5,'My Debts'!$B$13+1),IF($H13&gt;0,6,'My Debts'!$B$13+1),IF($I13&gt;0,7,'My Debts'!$B$13+1),IF($J13&gt;0,8,'My Debts'!$B$13+1),IF($K13&gt;0,9,'My Debts'!$B$13+1),IF($L13&gt;0,10,'My Debts'!$B$13+1)))</f>
        <v/>
      </c>
    </row>
    <row r="15" ht="18" customHeight="1" s="44">
      <c r="A15" s="42" t="n">
        <v>10</v>
      </c>
      <c r="B15" s="37">
        <f>IF($X14&gt;0,'My Debts'!$B$8,0)</f>
        <v/>
      </c>
      <c r="C15" s="37">
        <f>ROUND(MAX(0,$C14*(1+C$2)-M15),2)</f>
        <v/>
      </c>
      <c r="D15" s="37">
        <f>ROUND(MAX(0,$D14*(1+D$2)-N15),2)</f>
        <v/>
      </c>
      <c r="E15" s="37">
        <f>ROUND(MAX(0,$E14*(1+E$2)-O15),2)</f>
        <v/>
      </c>
      <c r="F15" s="37">
        <f>ROUND(MAX(0,$F14*(1+F$2)-P15),2)</f>
        <v/>
      </c>
      <c r="G15" s="37">
        <f>ROUND(MAX(0,$G14*(1+G$2)-Q15),2)</f>
        <v/>
      </c>
      <c r="H15" s="37">
        <f>ROUND(MAX(0,$H14*(1+H$2)-R15),2)</f>
        <v/>
      </c>
      <c r="I15" s="37">
        <f>ROUND(MAX(0,$I14*(1+I$2)-S15),2)</f>
        <v/>
      </c>
      <c r="J15" s="37">
        <f>ROUND(MAX(0,$J14*(1+J$2)-T15),2)</f>
        <v/>
      </c>
      <c r="K15" s="37">
        <f>ROUND(MAX(0,$K14*(1+K$2)-U15),2)</f>
        <v/>
      </c>
      <c r="L15" s="37">
        <f>ROUND(MAX(0,$L14*(1+L$2)-V15),2)</f>
        <v/>
      </c>
      <c r="M15" s="37">
        <f>IF($C14&lt;=0,0,IF($Y15=1,MIN($C14*(1+C$2),MAX(0,$B15-(IF($D14&gt;0,MIN($N$3,$D14*(1+$D$2)),0)+IF($E14&gt;0,MIN($O$3,$E14*(1+$E$2)),0)+IF($F14&gt;0,MIN($P$3,$F14*(1+$F$2)),0)+IF($G14&gt;0,MIN($Q$3,$G14*(1+$G$2)),0)+IF($H14&gt;0,MIN($R$3,$H14*(1+$H$2)),0)+IF($I14&gt;0,MIN($S$3,$I14*(1+$I$2)),0)+IF($J14&gt;0,MIN($T$3,$J14*(1+$J$2)),0)+IF($K14&gt;0,MIN($U$3,$K14*(1+$K$2)),0)+IF($L14&gt;0,MIN($V$3,$L14*(1+$L$2)),0)))),MIN($M$3,$C14*(1+C$2))))</f>
        <v/>
      </c>
      <c r="N15" s="37">
        <f>IF($D14&lt;=0,0,IF($Y15=2,MIN($D14*(1+D$2),MAX(0,$B15-(IF($C14&gt;0,MIN($M$3,$C14*(1+$C$2)),0)+IF($E14&gt;0,MIN($O$3,$E14*(1+$E$2)),0)+IF($F14&gt;0,MIN($P$3,$F14*(1+$F$2)),0)+IF($G14&gt;0,MIN($Q$3,$G14*(1+$G$2)),0)+IF($H14&gt;0,MIN($R$3,$H14*(1+$H$2)),0)+IF($I14&gt;0,MIN($S$3,$I14*(1+$I$2)),0)+IF($J14&gt;0,MIN($T$3,$J14*(1+$J$2)),0)+IF($K14&gt;0,MIN($U$3,$K14*(1+$K$2)),0)+IF($L14&gt;0,MIN($V$3,$L14*(1+$L$2)),0)))),MIN($N$3,$D14*(1+D$2))))</f>
        <v/>
      </c>
      <c r="O15" s="37">
        <f>IF($E14&lt;=0,0,IF($Y15=3,MIN($E14*(1+E$2),MAX(0,$B15-(IF($C14&gt;0,MIN($M$3,$C14*(1+$C$2)),0)+IF($D14&gt;0,MIN($N$3,$D14*(1+$D$2)),0)+IF($F14&gt;0,MIN($P$3,$F14*(1+$F$2)),0)+IF($G14&gt;0,MIN($Q$3,$G14*(1+$G$2)),0)+IF($H14&gt;0,MIN($R$3,$H14*(1+$H$2)),0)+IF($I14&gt;0,MIN($S$3,$I14*(1+$I$2)),0)+IF($J14&gt;0,MIN($T$3,$J14*(1+$J$2)),0)+IF($K14&gt;0,MIN($U$3,$K14*(1+$K$2)),0)+IF($L14&gt;0,MIN($V$3,$L14*(1+$L$2)),0)))),MIN($O$3,$E14*(1+E$2))))</f>
        <v/>
      </c>
      <c r="P15" s="37">
        <f>IF($F14&lt;=0,0,IF($Y15=4,MIN($F14*(1+F$2),MAX(0,$B15-(IF($C14&gt;0,MIN($M$3,$C14*(1+$C$2)),0)+IF($D14&gt;0,MIN($N$3,$D14*(1+$D$2)),0)+IF($E14&gt;0,MIN($O$3,$E14*(1+$E$2)),0)+IF($G14&gt;0,MIN($Q$3,$G14*(1+$G$2)),0)+IF($H14&gt;0,MIN($R$3,$H14*(1+$H$2)),0)+IF($I14&gt;0,MIN($S$3,$I14*(1+$I$2)),0)+IF($J14&gt;0,MIN($T$3,$J14*(1+$J$2)),0)+IF($K14&gt;0,MIN($U$3,$K14*(1+$K$2)),0)+IF($L14&gt;0,MIN($V$3,$L14*(1+$L$2)),0)))),MIN($P$3,$F14*(1+F$2))))</f>
        <v/>
      </c>
      <c r="Q15" s="37">
        <f>IF($G14&lt;=0,0,IF($Y15=5,MIN($G14*(1+G$2),MAX(0,$B15-(IF($C14&gt;0,MIN($M$3,$C14*(1+$C$2)),0)+IF($D14&gt;0,MIN($N$3,$D14*(1+$D$2)),0)+IF($E14&gt;0,MIN($O$3,$E14*(1+$E$2)),0)+IF($F14&gt;0,MIN($P$3,$F14*(1+$F$2)),0)+IF($H14&gt;0,MIN($R$3,$H14*(1+$H$2)),0)+IF($I14&gt;0,MIN($S$3,$I14*(1+$I$2)),0)+IF($J14&gt;0,MIN($T$3,$J14*(1+$J$2)),0)+IF($K14&gt;0,MIN($U$3,$K14*(1+$K$2)),0)+IF($L14&gt;0,MIN($V$3,$L14*(1+$L$2)),0)))),MIN($Q$3,$G14*(1+G$2))))</f>
        <v/>
      </c>
      <c r="R15" s="37">
        <f>IF($H14&lt;=0,0,IF($Y15=6,MIN($H14*(1+H$2),MAX(0,$B15-(IF($C14&gt;0,MIN($M$3,$C14*(1+$C$2)),0)+IF($D14&gt;0,MIN($N$3,$D14*(1+$D$2)),0)+IF($E14&gt;0,MIN($O$3,$E14*(1+$E$2)),0)+IF($F14&gt;0,MIN($P$3,$F14*(1+$F$2)),0)+IF($G14&gt;0,MIN($Q$3,$G14*(1+$G$2)),0)+IF($I14&gt;0,MIN($S$3,$I14*(1+$I$2)),0)+IF($J14&gt;0,MIN($T$3,$J14*(1+$J$2)),0)+IF($K14&gt;0,MIN($U$3,$K14*(1+$K$2)),0)+IF($L14&gt;0,MIN($V$3,$L14*(1+$L$2)),0)))),MIN($R$3,$H14*(1+H$2))))</f>
        <v/>
      </c>
      <c r="S15" s="37">
        <f>IF($I14&lt;=0,0,IF($Y15=7,MIN($I14*(1+I$2),MAX(0,$B15-(IF($C14&gt;0,MIN($M$3,$C14*(1+$C$2)),0)+IF($D14&gt;0,MIN($N$3,$D14*(1+$D$2)),0)+IF($E14&gt;0,MIN($O$3,$E14*(1+$E$2)),0)+IF($F14&gt;0,MIN($P$3,$F14*(1+$F$2)),0)+IF($G14&gt;0,MIN($Q$3,$G14*(1+$G$2)),0)+IF($H14&gt;0,MIN($R$3,$H14*(1+$H$2)),0)+IF($J14&gt;0,MIN($T$3,$J14*(1+$J$2)),0)+IF($K14&gt;0,MIN($U$3,$K14*(1+$K$2)),0)+IF($L14&gt;0,MIN($V$3,$L14*(1+$L$2)),0)))),MIN($S$3,$I14*(1+I$2))))</f>
        <v/>
      </c>
      <c r="T15" s="37">
        <f>IF($J14&lt;=0,0,IF($Y15=8,MIN($J14*(1+J$2),MAX(0,$B15-(IF($C14&gt;0,MIN($M$3,$C14*(1+$C$2)),0)+IF($D14&gt;0,MIN($N$3,$D14*(1+$D$2)),0)+IF($E14&gt;0,MIN($O$3,$E14*(1+$E$2)),0)+IF($F14&gt;0,MIN($P$3,$F14*(1+$F$2)),0)+IF($G14&gt;0,MIN($Q$3,$G14*(1+$G$2)),0)+IF($H14&gt;0,MIN($R$3,$H14*(1+$H$2)),0)+IF($I14&gt;0,MIN($S$3,$I14*(1+$I$2)),0)+IF($K14&gt;0,MIN($U$3,$K14*(1+$K$2)),0)+IF($L14&gt;0,MIN($V$3,$L14*(1+$L$2)),0)))),MIN($T$3,$J14*(1+J$2))))</f>
        <v/>
      </c>
      <c r="U15" s="37">
        <f>IF($K14&lt;=0,0,IF($Y15=9,MIN($K14*(1+K$2),MAX(0,$B15-(IF($C14&gt;0,MIN($M$3,$C14*(1+$C$2)),0)+IF($D14&gt;0,MIN($N$3,$D14*(1+$D$2)),0)+IF($E14&gt;0,MIN($O$3,$E14*(1+$E$2)),0)+IF($F14&gt;0,MIN($P$3,$F14*(1+$F$2)),0)+IF($G14&gt;0,MIN($Q$3,$G14*(1+$G$2)),0)+IF($H14&gt;0,MIN($R$3,$H14*(1+$H$2)),0)+IF($I14&gt;0,MIN($S$3,$I14*(1+$I$2)),0)+IF($J14&gt;0,MIN($T$3,$J14*(1+$J$2)),0)+IF($L14&gt;0,MIN($V$3,$L14*(1+$L$2)),0)))),MIN($U$3,$K14*(1+K$2))))</f>
        <v/>
      </c>
      <c r="V15" s="37">
        <f>IF($L14&lt;=0,0,IF($Y15=10,MIN($L14*(1+L$2),MAX(0,$B15-(IF($C14&gt;0,MIN($M$3,$C14*(1+$C$2)),0)+IF($D14&gt;0,MIN($N$3,$D14*(1+$D$2)),0)+IF($E14&gt;0,MIN($O$3,$E14*(1+$E$2)),0)+IF($F14&gt;0,MIN($P$3,$F14*(1+$F$2)),0)+IF($G14&gt;0,MIN($Q$3,$G14*(1+$G$2)),0)+IF($H14&gt;0,MIN($R$3,$H14*(1+$H$2)),0)+IF($I14&gt;0,MIN($S$3,$I14*(1+$I$2)),0)+IF($J14&gt;0,MIN($T$3,$J14*(1+$J$2)),0)+IF($K14&gt;0,MIN($U$3,$K14*(1+$K$2)),0)))),MIN($V$3,$L14*(1+L$2))))</f>
        <v/>
      </c>
      <c r="W15" s="37">
        <f>ROUND(SUMPRODUCT($C14:$L14,$C$2:$L$2),2)</f>
        <v/>
      </c>
      <c r="X15" s="37">
        <f>SUM($C15:$L15)</f>
        <v/>
      </c>
      <c r="Y15" s="42">
        <f>IF($X14=0,"",MIN(IF($C14&gt;0,1,'My Debts'!$B$13+1),IF($D14&gt;0,2,'My Debts'!$B$13+1),IF($E14&gt;0,3,'My Debts'!$B$13+1),IF($F14&gt;0,4,'My Debts'!$B$13+1),IF($G14&gt;0,5,'My Debts'!$B$13+1),IF($H14&gt;0,6,'My Debts'!$B$13+1),IF($I14&gt;0,7,'My Debts'!$B$13+1),IF($J14&gt;0,8,'My Debts'!$B$13+1),IF($K14&gt;0,9,'My Debts'!$B$13+1),IF($L14&gt;0,10,'My Debts'!$B$13+1)))</f>
        <v/>
      </c>
    </row>
    <row r="16" ht="18" customHeight="1" s="44">
      <c r="A16" s="42" t="n">
        <v>11</v>
      </c>
      <c r="B16" s="37">
        <f>IF($X15&gt;0,'My Debts'!$B$8,0)</f>
        <v/>
      </c>
      <c r="C16" s="37">
        <f>ROUND(MAX(0,$C15*(1+C$2)-M16),2)</f>
        <v/>
      </c>
      <c r="D16" s="37">
        <f>ROUND(MAX(0,$D15*(1+D$2)-N16),2)</f>
        <v/>
      </c>
      <c r="E16" s="37">
        <f>ROUND(MAX(0,$E15*(1+E$2)-O16),2)</f>
        <v/>
      </c>
      <c r="F16" s="37">
        <f>ROUND(MAX(0,$F15*(1+F$2)-P16),2)</f>
        <v/>
      </c>
      <c r="G16" s="37">
        <f>ROUND(MAX(0,$G15*(1+G$2)-Q16),2)</f>
        <v/>
      </c>
      <c r="H16" s="37">
        <f>ROUND(MAX(0,$H15*(1+H$2)-R16),2)</f>
        <v/>
      </c>
      <c r="I16" s="37">
        <f>ROUND(MAX(0,$I15*(1+I$2)-S16),2)</f>
        <v/>
      </c>
      <c r="J16" s="37">
        <f>ROUND(MAX(0,$J15*(1+J$2)-T16),2)</f>
        <v/>
      </c>
      <c r="K16" s="37">
        <f>ROUND(MAX(0,$K15*(1+K$2)-U16),2)</f>
        <v/>
      </c>
      <c r="L16" s="37">
        <f>ROUND(MAX(0,$L15*(1+L$2)-V16),2)</f>
        <v/>
      </c>
      <c r="M16" s="37">
        <f>IF($C15&lt;=0,0,IF($Y16=1,MIN($C15*(1+C$2),MAX(0,$B16-(IF($D15&gt;0,MIN($N$3,$D15*(1+$D$2)),0)+IF($E15&gt;0,MIN($O$3,$E15*(1+$E$2)),0)+IF($F15&gt;0,MIN($P$3,$F15*(1+$F$2)),0)+IF($G15&gt;0,MIN($Q$3,$G15*(1+$G$2)),0)+IF($H15&gt;0,MIN($R$3,$H15*(1+$H$2)),0)+IF($I15&gt;0,MIN($S$3,$I15*(1+$I$2)),0)+IF($J15&gt;0,MIN($T$3,$J15*(1+$J$2)),0)+IF($K15&gt;0,MIN($U$3,$K15*(1+$K$2)),0)+IF($L15&gt;0,MIN($V$3,$L15*(1+$L$2)),0)))),MIN($M$3,$C15*(1+C$2))))</f>
        <v/>
      </c>
      <c r="N16" s="37">
        <f>IF($D15&lt;=0,0,IF($Y16=2,MIN($D15*(1+D$2),MAX(0,$B16-(IF($C15&gt;0,MIN($M$3,$C15*(1+$C$2)),0)+IF($E15&gt;0,MIN($O$3,$E15*(1+$E$2)),0)+IF($F15&gt;0,MIN($P$3,$F15*(1+$F$2)),0)+IF($G15&gt;0,MIN($Q$3,$G15*(1+$G$2)),0)+IF($H15&gt;0,MIN($R$3,$H15*(1+$H$2)),0)+IF($I15&gt;0,MIN($S$3,$I15*(1+$I$2)),0)+IF($J15&gt;0,MIN($T$3,$J15*(1+$J$2)),0)+IF($K15&gt;0,MIN($U$3,$K15*(1+$K$2)),0)+IF($L15&gt;0,MIN($V$3,$L15*(1+$L$2)),0)))),MIN($N$3,$D15*(1+D$2))))</f>
        <v/>
      </c>
      <c r="O16" s="37">
        <f>IF($E15&lt;=0,0,IF($Y16=3,MIN($E15*(1+E$2),MAX(0,$B16-(IF($C15&gt;0,MIN($M$3,$C15*(1+$C$2)),0)+IF($D15&gt;0,MIN($N$3,$D15*(1+$D$2)),0)+IF($F15&gt;0,MIN($P$3,$F15*(1+$F$2)),0)+IF($G15&gt;0,MIN($Q$3,$G15*(1+$G$2)),0)+IF($H15&gt;0,MIN($R$3,$H15*(1+$H$2)),0)+IF($I15&gt;0,MIN($S$3,$I15*(1+$I$2)),0)+IF($J15&gt;0,MIN($T$3,$J15*(1+$J$2)),0)+IF($K15&gt;0,MIN($U$3,$K15*(1+$K$2)),0)+IF($L15&gt;0,MIN($V$3,$L15*(1+$L$2)),0)))),MIN($O$3,$E15*(1+E$2))))</f>
        <v/>
      </c>
      <c r="P16" s="37">
        <f>IF($F15&lt;=0,0,IF($Y16=4,MIN($F15*(1+F$2),MAX(0,$B16-(IF($C15&gt;0,MIN($M$3,$C15*(1+$C$2)),0)+IF($D15&gt;0,MIN($N$3,$D15*(1+$D$2)),0)+IF($E15&gt;0,MIN($O$3,$E15*(1+$E$2)),0)+IF($G15&gt;0,MIN($Q$3,$G15*(1+$G$2)),0)+IF($H15&gt;0,MIN($R$3,$H15*(1+$H$2)),0)+IF($I15&gt;0,MIN($S$3,$I15*(1+$I$2)),0)+IF($J15&gt;0,MIN($T$3,$J15*(1+$J$2)),0)+IF($K15&gt;0,MIN($U$3,$K15*(1+$K$2)),0)+IF($L15&gt;0,MIN($V$3,$L15*(1+$L$2)),0)))),MIN($P$3,$F15*(1+F$2))))</f>
        <v/>
      </c>
      <c r="Q16" s="37">
        <f>IF($G15&lt;=0,0,IF($Y16=5,MIN($G15*(1+G$2),MAX(0,$B16-(IF($C15&gt;0,MIN($M$3,$C15*(1+$C$2)),0)+IF($D15&gt;0,MIN($N$3,$D15*(1+$D$2)),0)+IF($E15&gt;0,MIN($O$3,$E15*(1+$E$2)),0)+IF($F15&gt;0,MIN($P$3,$F15*(1+$F$2)),0)+IF($H15&gt;0,MIN($R$3,$H15*(1+$H$2)),0)+IF($I15&gt;0,MIN($S$3,$I15*(1+$I$2)),0)+IF($J15&gt;0,MIN($T$3,$J15*(1+$J$2)),0)+IF($K15&gt;0,MIN($U$3,$K15*(1+$K$2)),0)+IF($L15&gt;0,MIN($V$3,$L15*(1+$L$2)),0)))),MIN($Q$3,$G15*(1+G$2))))</f>
        <v/>
      </c>
      <c r="R16" s="37">
        <f>IF($H15&lt;=0,0,IF($Y16=6,MIN($H15*(1+H$2),MAX(0,$B16-(IF($C15&gt;0,MIN($M$3,$C15*(1+$C$2)),0)+IF($D15&gt;0,MIN($N$3,$D15*(1+$D$2)),0)+IF($E15&gt;0,MIN($O$3,$E15*(1+$E$2)),0)+IF($F15&gt;0,MIN($P$3,$F15*(1+$F$2)),0)+IF($G15&gt;0,MIN($Q$3,$G15*(1+$G$2)),0)+IF($I15&gt;0,MIN($S$3,$I15*(1+$I$2)),0)+IF($J15&gt;0,MIN($T$3,$J15*(1+$J$2)),0)+IF($K15&gt;0,MIN($U$3,$K15*(1+$K$2)),0)+IF($L15&gt;0,MIN($V$3,$L15*(1+$L$2)),0)))),MIN($R$3,$H15*(1+H$2))))</f>
        <v/>
      </c>
      <c r="S16" s="37">
        <f>IF($I15&lt;=0,0,IF($Y16=7,MIN($I15*(1+I$2),MAX(0,$B16-(IF($C15&gt;0,MIN($M$3,$C15*(1+$C$2)),0)+IF($D15&gt;0,MIN($N$3,$D15*(1+$D$2)),0)+IF($E15&gt;0,MIN($O$3,$E15*(1+$E$2)),0)+IF($F15&gt;0,MIN($P$3,$F15*(1+$F$2)),0)+IF($G15&gt;0,MIN($Q$3,$G15*(1+$G$2)),0)+IF($H15&gt;0,MIN($R$3,$H15*(1+$H$2)),0)+IF($J15&gt;0,MIN($T$3,$J15*(1+$J$2)),0)+IF($K15&gt;0,MIN($U$3,$K15*(1+$K$2)),0)+IF($L15&gt;0,MIN($V$3,$L15*(1+$L$2)),0)))),MIN($S$3,$I15*(1+I$2))))</f>
        <v/>
      </c>
      <c r="T16" s="37">
        <f>IF($J15&lt;=0,0,IF($Y16=8,MIN($J15*(1+J$2),MAX(0,$B16-(IF($C15&gt;0,MIN($M$3,$C15*(1+$C$2)),0)+IF($D15&gt;0,MIN($N$3,$D15*(1+$D$2)),0)+IF($E15&gt;0,MIN($O$3,$E15*(1+$E$2)),0)+IF($F15&gt;0,MIN($P$3,$F15*(1+$F$2)),0)+IF($G15&gt;0,MIN($Q$3,$G15*(1+$G$2)),0)+IF($H15&gt;0,MIN($R$3,$H15*(1+$H$2)),0)+IF($I15&gt;0,MIN($S$3,$I15*(1+$I$2)),0)+IF($K15&gt;0,MIN($U$3,$K15*(1+$K$2)),0)+IF($L15&gt;0,MIN($V$3,$L15*(1+$L$2)),0)))),MIN($T$3,$J15*(1+J$2))))</f>
        <v/>
      </c>
      <c r="U16" s="37">
        <f>IF($K15&lt;=0,0,IF($Y16=9,MIN($K15*(1+K$2),MAX(0,$B16-(IF($C15&gt;0,MIN($M$3,$C15*(1+$C$2)),0)+IF($D15&gt;0,MIN($N$3,$D15*(1+$D$2)),0)+IF($E15&gt;0,MIN($O$3,$E15*(1+$E$2)),0)+IF($F15&gt;0,MIN($P$3,$F15*(1+$F$2)),0)+IF($G15&gt;0,MIN($Q$3,$G15*(1+$G$2)),0)+IF($H15&gt;0,MIN($R$3,$H15*(1+$H$2)),0)+IF($I15&gt;0,MIN($S$3,$I15*(1+$I$2)),0)+IF($J15&gt;0,MIN($T$3,$J15*(1+$J$2)),0)+IF($L15&gt;0,MIN($V$3,$L15*(1+$L$2)),0)))),MIN($U$3,$K15*(1+K$2))))</f>
        <v/>
      </c>
      <c r="V16" s="37">
        <f>IF($L15&lt;=0,0,IF($Y16=10,MIN($L15*(1+L$2),MAX(0,$B16-(IF($C15&gt;0,MIN($M$3,$C15*(1+$C$2)),0)+IF($D15&gt;0,MIN($N$3,$D15*(1+$D$2)),0)+IF($E15&gt;0,MIN($O$3,$E15*(1+$E$2)),0)+IF($F15&gt;0,MIN($P$3,$F15*(1+$F$2)),0)+IF($G15&gt;0,MIN($Q$3,$G15*(1+$G$2)),0)+IF($H15&gt;0,MIN($R$3,$H15*(1+$H$2)),0)+IF($I15&gt;0,MIN($S$3,$I15*(1+$I$2)),0)+IF($J15&gt;0,MIN($T$3,$J15*(1+$J$2)),0)+IF($K15&gt;0,MIN($U$3,$K15*(1+$K$2)),0)))),MIN($V$3,$L15*(1+L$2))))</f>
        <v/>
      </c>
      <c r="W16" s="37">
        <f>ROUND(SUMPRODUCT($C15:$L15,$C$2:$L$2),2)</f>
        <v/>
      </c>
      <c r="X16" s="37">
        <f>SUM($C16:$L16)</f>
        <v/>
      </c>
      <c r="Y16" s="42">
        <f>IF($X15=0,"",MIN(IF($C15&gt;0,1,'My Debts'!$B$13+1),IF($D15&gt;0,2,'My Debts'!$B$13+1),IF($E15&gt;0,3,'My Debts'!$B$13+1),IF($F15&gt;0,4,'My Debts'!$B$13+1),IF($G15&gt;0,5,'My Debts'!$B$13+1),IF($H15&gt;0,6,'My Debts'!$B$13+1),IF($I15&gt;0,7,'My Debts'!$B$13+1),IF($J15&gt;0,8,'My Debts'!$B$13+1),IF($K15&gt;0,9,'My Debts'!$B$13+1),IF($L15&gt;0,10,'My Debts'!$B$13+1)))</f>
        <v/>
      </c>
    </row>
    <row r="17" ht="18" customHeight="1" s="44">
      <c r="A17" s="42" t="n">
        <v>12</v>
      </c>
      <c r="B17" s="37">
        <f>IF($X16&gt;0,'My Debts'!$B$8,0)</f>
        <v/>
      </c>
      <c r="C17" s="37">
        <f>ROUND(MAX(0,$C16*(1+C$2)-M17),2)</f>
        <v/>
      </c>
      <c r="D17" s="37">
        <f>ROUND(MAX(0,$D16*(1+D$2)-N17),2)</f>
        <v/>
      </c>
      <c r="E17" s="37">
        <f>ROUND(MAX(0,$E16*(1+E$2)-O17),2)</f>
        <v/>
      </c>
      <c r="F17" s="37">
        <f>ROUND(MAX(0,$F16*(1+F$2)-P17),2)</f>
        <v/>
      </c>
      <c r="G17" s="37">
        <f>ROUND(MAX(0,$G16*(1+G$2)-Q17),2)</f>
        <v/>
      </c>
      <c r="H17" s="37">
        <f>ROUND(MAX(0,$H16*(1+H$2)-R17),2)</f>
        <v/>
      </c>
      <c r="I17" s="37">
        <f>ROUND(MAX(0,$I16*(1+I$2)-S17),2)</f>
        <v/>
      </c>
      <c r="J17" s="37">
        <f>ROUND(MAX(0,$J16*(1+J$2)-T17),2)</f>
        <v/>
      </c>
      <c r="K17" s="37">
        <f>ROUND(MAX(0,$K16*(1+K$2)-U17),2)</f>
        <v/>
      </c>
      <c r="L17" s="37">
        <f>ROUND(MAX(0,$L16*(1+L$2)-V17),2)</f>
        <v/>
      </c>
      <c r="M17" s="37">
        <f>IF($C16&lt;=0,0,IF($Y17=1,MIN($C16*(1+C$2),MAX(0,$B17-(IF($D16&gt;0,MIN($N$3,$D16*(1+$D$2)),0)+IF($E16&gt;0,MIN($O$3,$E16*(1+$E$2)),0)+IF($F16&gt;0,MIN($P$3,$F16*(1+$F$2)),0)+IF($G16&gt;0,MIN($Q$3,$G16*(1+$G$2)),0)+IF($H16&gt;0,MIN($R$3,$H16*(1+$H$2)),0)+IF($I16&gt;0,MIN($S$3,$I16*(1+$I$2)),0)+IF($J16&gt;0,MIN($T$3,$J16*(1+$J$2)),0)+IF($K16&gt;0,MIN($U$3,$K16*(1+$K$2)),0)+IF($L16&gt;0,MIN($V$3,$L16*(1+$L$2)),0)))),MIN($M$3,$C16*(1+C$2))))</f>
        <v/>
      </c>
      <c r="N17" s="37">
        <f>IF($D16&lt;=0,0,IF($Y17=2,MIN($D16*(1+D$2),MAX(0,$B17-(IF($C16&gt;0,MIN($M$3,$C16*(1+$C$2)),0)+IF($E16&gt;0,MIN($O$3,$E16*(1+$E$2)),0)+IF($F16&gt;0,MIN($P$3,$F16*(1+$F$2)),0)+IF($G16&gt;0,MIN($Q$3,$G16*(1+$G$2)),0)+IF($H16&gt;0,MIN($R$3,$H16*(1+$H$2)),0)+IF($I16&gt;0,MIN($S$3,$I16*(1+$I$2)),0)+IF($J16&gt;0,MIN($T$3,$J16*(1+$J$2)),0)+IF($K16&gt;0,MIN($U$3,$K16*(1+$K$2)),0)+IF($L16&gt;0,MIN($V$3,$L16*(1+$L$2)),0)))),MIN($N$3,$D16*(1+D$2))))</f>
        <v/>
      </c>
      <c r="O17" s="37">
        <f>IF($E16&lt;=0,0,IF($Y17=3,MIN($E16*(1+E$2),MAX(0,$B17-(IF($C16&gt;0,MIN($M$3,$C16*(1+$C$2)),0)+IF($D16&gt;0,MIN($N$3,$D16*(1+$D$2)),0)+IF($F16&gt;0,MIN($P$3,$F16*(1+$F$2)),0)+IF($G16&gt;0,MIN($Q$3,$G16*(1+$G$2)),0)+IF($H16&gt;0,MIN($R$3,$H16*(1+$H$2)),0)+IF($I16&gt;0,MIN($S$3,$I16*(1+$I$2)),0)+IF($J16&gt;0,MIN($T$3,$J16*(1+$J$2)),0)+IF($K16&gt;0,MIN($U$3,$K16*(1+$K$2)),0)+IF($L16&gt;0,MIN($V$3,$L16*(1+$L$2)),0)))),MIN($O$3,$E16*(1+E$2))))</f>
        <v/>
      </c>
      <c r="P17" s="37">
        <f>IF($F16&lt;=0,0,IF($Y17=4,MIN($F16*(1+F$2),MAX(0,$B17-(IF($C16&gt;0,MIN($M$3,$C16*(1+$C$2)),0)+IF($D16&gt;0,MIN($N$3,$D16*(1+$D$2)),0)+IF($E16&gt;0,MIN($O$3,$E16*(1+$E$2)),0)+IF($G16&gt;0,MIN($Q$3,$G16*(1+$G$2)),0)+IF($H16&gt;0,MIN($R$3,$H16*(1+$H$2)),0)+IF($I16&gt;0,MIN($S$3,$I16*(1+$I$2)),0)+IF($J16&gt;0,MIN($T$3,$J16*(1+$J$2)),0)+IF($K16&gt;0,MIN($U$3,$K16*(1+$K$2)),0)+IF($L16&gt;0,MIN($V$3,$L16*(1+$L$2)),0)))),MIN($P$3,$F16*(1+F$2))))</f>
        <v/>
      </c>
      <c r="Q17" s="37">
        <f>IF($G16&lt;=0,0,IF($Y17=5,MIN($G16*(1+G$2),MAX(0,$B17-(IF($C16&gt;0,MIN($M$3,$C16*(1+$C$2)),0)+IF($D16&gt;0,MIN($N$3,$D16*(1+$D$2)),0)+IF($E16&gt;0,MIN($O$3,$E16*(1+$E$2)),0)+IF($F16&gt;0,MIN($P$3,$F16*(1+$F$2)),0)+IF($H16&gt;0,MIN($R$3,$H16*(1+$H$2)),0)+IF($I16&gt;0,MIN($S$3,$I16*(1+$I$2)),0)+IF($J16&gt;0,MIN($T$3,$J16*(1+$J$2)),0)+IF($K16&gt;0,MIN($U$3,$K16*(1+$K$2)),0)+IF($L16&gt;0,MIN($V$3,$L16*(1+$L$2)),0)))),MIN($Q$3,$G16*(1+G$2))))</f>
        <v/>
      </c>
      <c r="R17" s="37">
        <f>IF($H16&lt;=0,0,IF($Y17=6,MIN($H16*(1+H$2),MAX(0,$B17-(IF($C16&gt;0,MIN($M$3,$C16*(1+$C$2)),0)+IF($D16&gt;0,MIN($N$3,$D16*(1+$D$2)),0)+IF($E16&gt;0,MIN($O$3,$E16*(1+$E$2)),0)+IF($F16&gt;0,MIN($P$3,$F16*(1+$F$2)),0)+IF($G16&gt;0,MIN($Q$3,$G16*(1+$G$2)),0)+IF($I16&gt;0,MIN($S$3,$I16*(1+$I$2)),0)+IF($J16&gt;0,MIN($T$3,$J16*(1+$J$2)),0)+IF($K16&gt;0,MIN($U$3,$K16*(1+$K$2)),0)+IF($L16&gt;0,MIN($V$3,$L16*(1+$L$2)),0)))),MIN($R$3,$H16*(1+H$2))))</f>
        <v/>
      </c>
      <c r="S17" s="37">
        <f>IF($I16&lt;=0,0,IF($Y17=7,MIN($I16*(1+I$2),MAX(0,$B17-(IF($C16&gt;0,MIN($M$3,$C16*(1+$C$2)),0)+IF($D16&gt;0,MIN($N$3,$D16*(1+$D$2)),0)+IF($E16&gt;0,MIN($O$3,$E16*(1+$E$2)),0)+IF($F16&gt;0,MIN($P$3,$F16*(1+$F$2)),0)+IF($G16&gt;0,MIN($Q$3,$G16*(1+$G$2)),0)+IF($H16&gt;0,MIN($R$3,$H16*(1+$H$2)),0)+IF($J16&gt;0,MIN($T$3,$J16*(1+$J$2)),0)+IF($K16&gt;0,MIN($U$3,$K16*(1+$K$2)),0)+IF($L16&gt;0,MIN($V$3,$L16*(1+$L$2)),0)))),MIN($S$3,$I16*(1+I$2))))</f>
        <v/>
      </c>
      <c r="T17" s="37">
        <f>IF($J16&lt;=0,0,IF($Y17=8,MIN($J16*(1+J$2),MAX(0,$B17-(IF($C16&gt;0,MIN($M$3,$C16*(1+$C$2)),0)+IF($D16&gt;0,MIN($N$3,$D16*(1+$D$2)),0)+IF($E16&gt;0,MIN($O$3,$E16*(1+$E$2)),0)+IF($F16&gt;0,MIN($P$3,$F16*(1+$F$2)),0)+IF($G16&gt;0,MIN($Q$3,$G16*(1+$G$2)),0)+IF($H16&gt;0,MIN($R$3,$H16*(1+$H$2)),0)+IF($I16&gt;0,MIN($S$3,$I16*(1+$I$2)),0)+IF($K16&gt;0,MIN($U$3,$K16*(1+$K$2)),0)+IF($L16&gt;0,MIN($V$3,$L16*(1+$L$2)),0)))),MIN($T$3,$J16*(1+J$2))))</f>
        <v/>
      </c>
      <c r="U17" s="37">
        <f>IF($K16&lt;=0,0,IF($Y17=9,MIN($K16*(1+K$2),MAX(0,$B17-(IF($C16&gt;0,MIN($M$3,$C16*(1+$C$2)),0)+IF($D16&gt;0,MIN($N$3,$D16*(1+$D$2)),0)+IF($E16&gt;0,MIN($O$3,$E16*(1+$E$2)),0)+IF($F16&gt;0,MIN($P$3,$F16*(1+$F$2)),0)+IF($G16&gt;0,MIN($Q$3,$G16*(1+$G$2)),0)+IF($H16&gt;0,MIN($R$3,$H16*(1+$H$2)),0)+IF($I16&gt;0,MIN($S$3,$I16*(1+$I$2)),0)+IF($J16&gt;0,MIN($T$3,$J16*(1+$J$2)),0)+IF($L16&gt;0,MIN($V$3,$L16*(1+$L$2)),0)))),MIN($U$3,$K16*(1+K$2))))</f>
        <v/>
      </c>
      <c r="V17" s="37">
        <f>IF($L16&lt;=0,0,IF($Y17=10,MIN($L16*(1+L$2),MAX(0,$B17-(IF($C16&gt;0,MIN($M$3,$C16*(1+$C$2)),0)+IF($D16&gt;0,MIN($N$3,$D16*(1+$D$2)),0)+IF($E16&gt;0,MIN($O$3,$E16*(1+$E$2)),0)+IF($F16&gt;0,MIN($P$3,$F16*(1+$F$2)),0)+IF($G16&gt;0,MIN($Q$3,$G16*(1+$G$2)),0)+IF($H16&gt;0,MIN($R$3,$H16*(1+$H$2)),0)+IF($I16&gt;0,MIN($S$3,$I16*(1+$I$2)),0)+IF($J16&gt;0,MIN($T$3,$J16*(1+$J$2)),0)+IF($K16&gt;0,MIN($U$3,$K16*(1+$K$2)),0)))),MIN($V$3,$L16*(1+L$2))))</f>
        <v/>
      </c>
      <c r="W17" s="37">
        <f>ROUND(SUMPRODUCT($C16:$L16,$C$2:$L$2),2)</f>
        <v/>
      </c>
      <c r="X17" s="37">
        <f>SUM($C17:$L17)</f>
        <v/>
      </c>
      <c r="Y17" s="42">
        <f>IF($X16=0,"",MIN(IF($C16&gt;0,1,'My Debts'!$B$13+1),IF($D16&gt;0,2,'My Debts'!$B$13+1),IF($E16&gt;0,3,'My Debts'!$B$13+1),IF($F16&gt;0,4,'My Debts'!$B$13+1),IF($G16&gt;0,5,'My Debts'!$B$13+1),IF($H16&gt;0,6,'My Debts'!$B$13+1),IF($I16&gt;0,7,'My Debts'!$B$13+1),IF($J16&gt;0,8,'My Debts'!$B$13+1),IF($K16&gt;0,9,'My Debts'!$B$13+1),IF($L16&gt;0,10,'My Debts'!$B$13+1)))</f>
        <v/>
      </c>
    </row>
    <row r="18" ht="18" customHeight="1" s="44">
      <c r="A18" s="42" t="n">
        <v>13</v>
      </c>
      <c r="B18" s="37">
        <f>IF($X17&gt;0,'My Debts'!$B$8,0)</f>
        <v/>
      </c>
      <c r="C18" s="37">
        <f>ROUND(MAX(0,$C17*(1+C$2)-M18),2)</f>
        <v/>
      </c>
      <c r="D18" s="37">
        <f>ROUND(MAX(0,$D17*(1+D$2)-N18),2)</f>
        <v/>
      </c>
      <c r="E18" s="37">
        <f>ROUND(MAX(0,$E17*(1+E$2)-O18),2)</f>
        <v/>
      </c>
      <c r="F18" s="37">
        <f>ROUND(MAX(0,$F17*(1+F$2)-P18),2)</f>
        <v/>
      </c>
      <c r="G18" s="37">
        <f>ROUND(MAX(0,$G17*(1+G$2)-Q18),2)</f>
        <v/>
      </c>
      <c r="H18" s="37">
        <f>ROUND(MAX(0,$H17*(1+H$2)-R18),2)</f>
        <v/>
      </c>
      <c r="I18" s="37">
        <f>ROUND(MAX(0,$I17*(1+I$2)-S18),2)</f>
        <v/>
      </c>
      <c r="J18" s="37">
        <f>ROUND(MAX(0,$J17*(1+J$2)-T18),2)</f>
        <v/>
      </c>
      <c r="K18" s="37">
        <f>ROUND(MAX(0,$K17*(1+K$2)-U18),2)</f>
        <v/>
      </c>
      <c r="L18" s="37">
        <f>ROUND(MAX(0,$L17*(1+L$2)-V18),2)</f>
        <v/>
      </c>
      <c r="M18" s="37">
        <f>IF($C17&lt;=0,0,IF($Y18=1,MIN($C17*(1+C$2),MAX(0,$B18-(IF($D17&gt;0,MIN($N$3,$D17*(1+$D$2)),0)+IF($E17&gt;0,MIN($O$3,$E17*(1+$E$2)),0)+IF($F17&gt;0,MIN($P$3,$F17*(1+$F$2)),0)+IF($G17&gt;0,MIN($Q$3,$G17*(1+$G$2)),0)+IF($H17&gt;0,MIN($R$3,$H17*(1+$H$2)),0)+IF($I17&gt;0,MIN($S$3,$I17*(1+$I$2)),0)+IF($J17&gt;0,MIN($T$3,$J17*(1+$J$2)),0)+IF($K17&gt;0,MIN($U$3,$K17*(1+$K$2)),0)+IF($L17&gt;0,MIN($V$3,$L17*(1+$L$2)),0)))),MIN($M$3,$C17*(1+C$2))))</f>
        <v/>
      </c>
      <c r="N18" s="37">
        <f>IF($D17&lt;=0,0,IF($Y18=2,MIN($D17*(1+D$2),MAX(0,$B18-(IF($C17&gt;0,MIN($M$3,$C17*(1+$C$2)),0)+IF($E17&gt;0,MIN($O$3,$E17*(1+$E$2)),0)+IF($F17&gt;0,MIN($P$3,$F17*(1+$F$2)),0)+IF($G17&gt;0,MIN($Q$3,$G17*(1+$G$2)),0)+IF($H17&gt;0,MIN($R$3,$H17*(1+$H$2)),0)+IF($I17&gt;0,MIN($S$3,$I17*(1+$I$2)),0)+IF($J17&gt;0,MIN($T$3,$J17*(1+$J$2)),0)+IF($K17&gt;0,MIN($U$3,$K17*(1+$K$2)),0)+IF($L17&gt;0,MIN($V$3,$L17*(1+$L$2)),0)))),MIN($N$3,$D17*(1+D$2))))</f>
        <v/>
      </c>
      <c r="O18" s="37">
        <f>IF($E17&lt;=0,0,IF($Y18=3,MIN($E17*(1+E$2),MAX(0,$B18-(IF($C17&gt;0,MIN($M$3,$C17*(1+$C$2)),0)+IF($D17&gt;0,MIN($N$3,$D17*(1+$D$2)),0)+IF($F17&gt;0,MIN($P$3,$F17*(1+$F$2)),0)+IF($G17&gt;0,MIN($Q$3,$G17*(1+$G$2)),0)+IF($H17&gt;0,MIN($R$3,$H17*(1+$H$2)),0)+IF($I17&gt;0,MIN($S$3,$I17*(1+$I$2)),0)+IF($J17&gt;0,MIN($T$3,$J17*(1+$J$2)),0)+IF($K17&gt;0,MIN($U$3,$K17*(1+$K$2)),0)+IF($L17&gt;0,MIN($V$3,$L17*(1+$L$2)),0)))),MIN($O$3,$E17*(1+E$2))))</f>
        <v/>
      </c>
      <c r="P18" s="37">
        <f>IF($F17&lt;=0,0,IF($Y18=4,MIN($F17*(1+F$2),MAX(0,$B18-(IF($C17&gt;0,MIN($M$3,$C17*(1+$C$2)),0)+IF($D17&gt;0,MIN($N$3,$D17*(1+$D$2)),0)+IF($E17&gt;0,MIN($O$3,$E17*(1+$E$2)),0)+IF($G17&gt;0,MIN($Q$3,$G17*(1+$G$2)),0)+IF($H17&gt;0,MIN($R$3,$H17*(1+$H$2)),0)+IF($I17&gt;0,MIN($S$3,$I17*(1+$I$2)),0)+IF($J17&gt;0,MIN($T$3,$J17*(1+$J$2)),0)+IF($K17&gt;0,MIN($U$3,$K17*(1+$K$2)),0)+IF($L17&gt;0,MIN($V$3,$L17*(1+$L$2)),0)))),MIN($P$3,$F17*(1+F$2))))</f>
        <v/>
      </c>
      <c r="Q18" s="37">
        <f>IF($G17&lt;=0,0,IF($Y18=5,MIN($G17*(1+G$2),MAX(0,$B18-(IF($C17&gt;0,MIN($M$3,$C17*(1+$C$2)),0)+IF($D17&gt;0,MIN($N$3,$D17*(1+$D$2)),0)+IF($E17&gt;0,MIN($O$3,$E17*(1+$E$2)),0)+IF($F17&gt;0,MIN($P$3,$F17*(1+$F$2)),0)+IF($H17&gt;0,MIN($R$3,$H17*(1+$H$2)),0)+IF($I17&gt;0,MIN($S$3,$I17*(1+$I$2)),0)+IF($J17&gt;0,MIN($T$3,$J17*(1+$J$2)),0)+IF($K17&gt;0,MIN($U$3,$K17*(1+$K$2)),0)+IF($L17&gt;0,MIN($V$3,$L17*(1+$L$2)),0)))),MIN($Q$3,$G17*(1+G$2))))</f>
        <v/>
      </c>
      <c r="R18" s="37">
        <f>IF($H17&lt;=0,0,IF($Y18=6,MIN($H17*(1+H$2),MAX(0,$B18-(IF($C17&gt;0,MIN($M$3,$C17*(1+$C$2)),0)+IF($D17&gt;0,MIN($N$3,$D17*(1+$D$2)),0)+IF($E17&gt;0,MIN($O$3,$E17*(1+$E$2)),0)+IF($F17&gt;0,MIN($P$3,$F17*(1+$F$2)),0)+IF($G17&gt;0,MIN($Q$3,$G17*(1+$G$2)),0)+IF($I17&gt;0,MIN($S$3,$I17*(1+$I$2)),0)+IF($J17&gt;0,MIN($T$3,$J17*(1+$J$2)),0)+IF($K17&gt;0,MIN($U$3,$K17*(1+$K$2)),0)+IF($L17&gt;0,MIN($V$3,$L17*(1+$L$2)),0)))),MIN($R$3,$H17*(1+H$2))))</f>
        <v/>
      </c>
      <c r="S18" s="37">
        <f>IF($I17&lt;=0,0,IF($Y18=7,MIN($I17*(1+I$2),MAX(0,$B18-(IF($C17&gt;0,MIN($M$3,$C17*(1+$C$2)),0)+IF($D17&gt;0,MIN($N$3,$D17*(1+$D$2)),0)+IF($E17&gt;0,MIN($O$3,$E17*(1+$E$2)),0)+IF($F17&gt;0,MIN($P$3,$F17*(1+$F$2)),0)+IF($G17&gt;0,MIN($Q$3,$G17*(1+$G$2)),0)+IF($H17&gt;0,MIN($R$3,$H17*(1+$H$2)),0)+IF($J17&gt;0,MIN($T$3,$J17*(1+$J$2)),0)+IF($K17&gt;0,MIN($U$3,$K17*(1+$K$2)),0)+IF($L17&gt;0,MIN($V$3,$L17*(1+$L$2)),0)))),MIN($S$3,$I17*(1+I$2))))</f>
        <v/>
      </c>
      <c r="T18" s="37">
        <f>IF($J17&lt;=0,0,IF($Y18=8,MIN($J17*(1+J$2),MAX(0,$B18-(IF($C17&gt;0,MIN($M$3,$C17*(1+$C$2)),0)+IF($D17&gt;0,MIN($N$3,$D17*(1+$D$2)),0)+IF($E17&gt;0,MIN($O$3,$E17*(1+$E$2)),0)+IF($F17&gt;0,MIN($P$3,$F17*(1+$F$2)),0)+IF($G17&gt;0,MIN($Q$3,$G17*(1+$G$2)),0)+IF($H17&gt;0,MIN($R$3,$H17*(1+$H$2)),0)+IF($I17&gt;0,MIN($S$3,$I17*(1+$I$2)),0)+IF($K17&gt;0,MIN($U$3,$K17*(1+$K$2)),0)+IF($L17&gt;0,MIN($V$3,$L17*(1+$L$2)),0)))),MIN($T$3,$J17*(1+J$2))))</f>
        <v/>
      </c>
      <c r="U18" s="37">
        <f>IF($K17&lt;=0,0,IF($Y18=9,MIN($K17*(1+K$2),MAX(0,$B18-(IF($C17&gt;0,MIN($M$3,$C17*(1+$C$2)),0)+IF($D17&gt;0,MIN($N$3,$D17*(1+$D$2)),0)+IF($E17&gt;0,MIN($O$3,$E17*(1+$E$2)),0)+IF($F17&gt;0,MIN($P$3,$F17*(1+$F$2)),0)+IF($G17&gt;0,MIN($Q$3,$G17*(1+$G$2)),0)+IF($H17&gt;0,MIN($R$3,$H17*(1+$H$2)),0)+IF($I17&gt;0,MIN($S$3,$I17*(1+$I$2)),0)+IF($J17&gt;0,MIN($T$3,$J17*(1+$J$2)),0)+IF($L17&gt;0,MIN($V$3,$L17*(1+$L$2)),0)))),MIN($U$3,$K17*(1+K$2))))</f>
        <v/>
      </c>
      <c r="V18" s="37">
        <f>IF($L17&lt;=0,0,IF($Y18=10,MIN($L17*(1+L$2),MAX(0,$B18-(IF($C17&gt;0,MIN($M$3,$C17*(1+$C$2)),0)+IF($D17&gt;0,MIN($N$3,$D17*(1+$D$2)),0)+IF($E17&gt;0,MIN($O$3,$E17*(1+$E$2)),0)+IF($F17&gt;0,MIN($P$3,$F17*(1+$F$2)),0)+IF($G17&gt;0,MIN($Q$3,$G17*(1+$G$2)),0)+IF($H17&gt;0,MIN($R$3,$H17*(1+$H$2)),0)+IF($I17&gt;0,MIN($S$3,$I17*(1+$I$2)),0)+IF($J17&gt;0,MIN($T$3,$J17*(1+$J$2)),0)+IF($K17&gt;0,MIN($U$3,$K17*(1+$K$2)),0)))),MIN($V$3,$L17*(1+L$2))))</f>
        <v/>
      </c>
      <c r="W18" s="37">
        <f>ROUND(SUMPRODUCT($C17:$L17,$C$2:$L$2),2)</f>
        <v/>
      </c>
      <c r="X18" s="37">
        <f>SUM($C18:$L18)</f>
        <v/>
      </c>
      <c r="Y18" s="42">
        <f>IF($X17=0,"",MIN(IF($C17&gt;0,1,'My Debts'!$B$13+1),IF($D17&gt;0,2,'My Debts'!$B$13+1),IF($E17&gt;0,3,'My Debts'!$B$13+1),IF($F17&gt;0,4,'My Debts'!$B$13+1),IF($G17&gt;0,5,'My Debts'!$B$13+1),IF($H17&gt;0,6,'My Debts'!$B$13+1),IF($I17&gt;0,7,'My Debts'!$B$13+1),IF($J17&gt;0,8,'My Debts'!$B$13+1),IF($K17&gt;0,9,'My Debts'!$B$13+1),IF($L17&gt;0,10,'My Debts'!$B$13+1)))</f>
        <v/>
      </c>
    </row>
    <row r="19" ht="18" customHeight="1" s="44">
      <c r="A19" s="42" t="n">
        <v>14</v>
      </c>
      <c r="B19" s="37">
        <f>IF($X18&gt;0,'My Debts'!$B$8,0)</f>
        <v/>
      </c>
      <c r="C19" s="37">
        <f>ROUND(MAX(0,$C18*(1+C$2)-M19),2)</f>
        <v/>
      </c>
      <c r="D19" s="37">
        <f>ROUND(MAX(0,$D18*(1+D$2)-N19),2)</f>
        <v/>
      </c>
      <c r="E19" s="37">
        <f>ROUND(MAX(0,$E18*(1+E$2)-O19),2)</f>
        <v/>
      </c>
      <c r="F19" s="37">
        <f>ROUND(MAX(0,$F18*(1+F$2)-P19),2)</f>
        <v/>
      </c>
      <c r="G19" s="37">
        <f>ROUND(MAX(0,$G18*(1+G$2)-Q19),2)</f>
        <v/>
      </c>
      <c r="H19" s="37">
        <f>ROUND(MAX(0,$H18*(1+H$2)-R19),2)</f>
        <v/>
      </c>
      <c r="I19" s="37">
        <f>ROUND(MAX(0,$I18*(1+I$2)-S19),2)</f>
        <v/>
      </c>
      <c r="J19" s="37">
        <f>ROUND(MAX(0,$J18*(1+J$2)-T19),2)</f>
        <v/>
      </c>
      <c r="K19" s="37">
        <f>ROUND(MAX(0,$K18*(1+K$2)-U19),2)</f>
        <v/>
      </c>
      <c r="L19" s="37">
        <f>ROUND(MAX(0,$L18*(1+L$2)-V19),2)</f>
        <v/>
      </c>
      <c r="M19" s="37">
        <f>IF($C18&lt;=0,0,IF($Y19=1,MIN($C18*(1+C$2),MAX(0,$B19-(IF($D18&gt;0,MIN($N$3,$D18*(1+$D$2)),0)+IF($E18&gt;0,MIN($O$3,$E18*(1+$E$2)),0)+IF($F18&gt;0,MIN($P$3,$F18*(1+$F$2)),0)+IF($G18&gt;0,MIN($Q$3,$G18*(1+$G$2)),0)+IF($H18&gt;0,MIN($R$3,$H18*(1+$H$2)),0)+IF($I18&gt;0,MIN($S$3,$I18*(1+$I$2)),0)+IF($J18&gt;0,MIN($T$3,$J18*(1+$J$2)),0)+IF($K18&gt;0,MIN($U$3,$K18*(1+$K$2)),0)+IF($L18&gt;0,MIN($V$3,$L18*(1+$L$2)),0)))),MIN($M$3,$C18*(1+C$2))))</f>
        <v/>
      </c>
      <c r="N19" s="37">
        <f>IF($D18&lt;=0,0,IF($Y19=2,MIN($D18*(1+D$2),MAX(0,$B19-(IF($C18&gt;0,MIN($M$3,$C18*(1+$C$2)),0)+IF($E18&gt;0,MIN($O$3,$E18*(1+$E$2)),0)+IF($F18&gt;0,MIN($P$3,$F18*(1+$F$2)),0)+IF($G18&gt;0,MIN($Q$3,$G18*(1+$G$2)),0)+IF($H18&gt;0,MIN($R$3,$H18*(1+$H$2)),0)+IF($I18&gt;0,MIN($S$3,$I18*(1+$I$2)),0)+IF($J18&gt;0,MIN($T$3,$J18*(1+$J$2)),0)+IF($K18&gt;0,MIN($U$3,$K18*(1+$K$2)),0)+IF($L18&gt;0,MIN($V$3,$L18*(1+$L$2)),0)))),MIN($N$3,$D18*(1+D$2))))</f>
        <v/>
      </c>
      <c r="O19" s="37">
        <f>IF($E18&lt;=0,0,IF($Y19=3,MIN($E18*(1+E$2),MAX(0,$B19-(IF($C18&gt;0,MIN($M$3,$C18*(1+$C$2)),0)+IF($D18&gt;0,MIN($N$3,$D18*(1+$D$2)),0)+IF($F18&gt;0,MIN($P$3,$F18*(1+$F$2)),0)+IF($G18&gt;0,MIN($Q$3,$G18*(1+$G$2)),0)+IF($H18&gt;0,MIN($R$3,$H18*(1+$H$2)),0)+IF($I18&gt;0,MIN($S$3,$I18*(1+$I$2)),0)+IF($J18&gt;0,MIN($T$3,$J18*(1+$J$2)),0)+IF($K18&gt;0,MIN($U$3,$K18*(1+$K$2)),0)+IF($L18&gt;0,MIN($V$3,$L18*(1+$L$2)),0)))),MIN($O$3,$E18*(1+E$2))))</f>
        <v/>
      </c>
      <c r="P19" s="37">
        <f>IF($F18&lt;=0,0,IF($Y19=4,MIN($F18*(1+F$2),MAX(0,$B19-(IF($C18&gt;0,MIN($M$3,$C18*(1+$C$2)),0)+IF($D18&gt;0,MIN($N$3,$D18*(1+$D$2)),0)+IF($E18&gt;0,MIN($O$3,$E18*(1+$E$2)),0)+IF($G18&gt;0,MIN($Q$3,$G18*(1+$G$2)),0)+IF($H18&gt;0,MIN($R$3,$H18*(1+$H$2)),0)+IF($I18&gt;0,MIN($S$3,$I18*(1+$I$2)),0)+IF($J18&gt;0,MIN($T$3,$J18*(1+$J$2)),0)+IF($K18&gt;0,MIN($U$3,$K18*(1+$K$2)),0)+IF($L18&gt;0,MIN($V$3,$L18*(1+$L$2)),0)))),MIN($P$3,$F18*(1+F$2))))</f>
        <v/>
      </c>
      <c r="Q19" s="37">
        <f>IF($G18&lt;=0,0,IF($Y19=5,MIN($G18*(1+G$2),MAX(0,$B19-(IF($C18&gt;0,MIN($M$3,$C18*(1+$C$2)),0)+IF($D18&gt;0,MIN($N$3,$D18*(1+$D$2)),0)+IF($E18&gt;0,MIN($O$3,$E18*(1+$E$2)),0)+IF($F18&gt;0,MIN($P$3,$F18*(1+$F$2)),0)+IF($H18&gt;0,MIN($R$3,$H18*(1+$H$2)),0)+IF($I18&gt;0,MIN($S$3,$I18*(1+$I$2)),0)+IF($J18&gt;0,MIN($T$3,$J18*(1+$J$2)),0)+IF($K18&gt;0,MIN($U$3,$K18*(1+$K$2)),0)+IF($L18&gt;0,MIN($V$3,$L18*(1+$L$2)),0)))),MIN($Q$3,$G18*(1+G$2))))</f>
        <v/>
      </c>
      <c r="R19" s="37">
        <f>IF($H18&lt;=0,0,IF($Y19=6,MIN($H18*(1+H$2),MAX(0,$B19-(IF($C18&gt;0,MIN($M$3,$C18*(1+$C$2)),0)+IF($D18&gt;0,MIN($N$3,$D18*(1+$D$2)),0)+IF($E18&gt;0,MIN($O$3,$E18*(1+$E$2)),0)+IF($F18&gt;0,MIN($P$3,$F18*(1+$F$2)),0)+IF($G18&gt;0,MIN($Q$3,$G18*(1+$G$2)),0)+IF($I18&gt;0,MIN($S$3,$I18*(1+$I$2)),0)+IF($J18&gt;0,MIN($T$3,$J18*(1+$J$2)),0)+IF($K18&gt;0,MIN($U$3,$K18*(1+$K$2)),0)+IF($L18&gt;0,MIN($V$3,$L18*(1+$L$2)),0)))),MIN($R$3,$H18*(1+H$2))))</f>
        <v/>
      </c>
      <c r="S19" s="37">
        <f>IF($I18&lt;=0,0,IF($Y19=7,MIN($I18*(1+I$2),MAX(0,$B19-(IF($C18&gt;0,MIN($M$3,$C18*(1+$C$2)),0)+IF($D18&gt;0,MIN($N$3,$D18*(1+$D$2)),0)+IF($E18&gt;0,MIN($O$3,$E18*(1+$E$2)),0)+IF($F18&gt;0,MIN($P$3,$F18*(1+$F$2)),0)+IF($G18&gt;0,MIN($Q$3,$G18*(1+$G$2)),0)+IF($H18&gt;0,MIN($R$3,$H18*(1+$H$2)),0)+IF($J18&gt;0,MIN($T$3,$J18*(1+$J$2)),0)+IF($K18&gt;0,MIN($U$3,$K18*(1+$K$2)),0)+IF($L18&gt;0,MIN($V$3,$L18*(1+$L$2)),0)))),MIN($S$3,$I18*(1+I$2))))</f>
        <v/>
      </c>
      <c r="T19" s="37">
        <f>IF($J18&lt;=0,0,IF($Y19=8,MIN($J18*(1+J$2),MAX(0,$B19-(IF($C18&gt;0,MIN($M$3,$C18*(1+$C$2)),0)+IF($D18&gt;0,MIN($N$3,$D18*(1+$D$2)),0)+IF($E18&gt;0,MIN($O$3,$E18*(1+$E$2)),0)+IF($F18&gt;0,MIN($P$3,$F18*(1+$F$2)),0)+IF($G18&gt;0,MIN($Q$3,$G18*(1+$G$2)),0)+IF($H18&gt;0,MIN($R$3,$H18*(1+$H$2)),0)+IF($I18&gt;0,MIN($S$3,$I18*(1+$I$2)),0)+IF($K18&gt;0,MIN($U$3,$K18*(1+$K$2)),0)+IF($L18&gt;0,MIN($V$3,$L18*(1+$L$2)),0)))),MIN($T$3,$J18*(1+J$2))))</f>
        <v/>
      </c>
      <c r="U19" s="37">
        <f>IF($K18&lt;=0,0,IF($Y19=9,MIN($K18*(1+K$2),MAX(0,$B19-(IF($C18&gt;0,MIN($M$3,$C18*(1+$C$2)),0)+IF($D18&gt;0,MIN($N$3,$D18*(1+$D$2)),0)+IF($E18&gt;0,MIN($O$3,$E18*(1+$E$2)),0)+IF($F18&gt;0,MIN($P$3,$F18*(1+$F$2)),0)+IF($G18&gt;0,MIN($Q$3,$G18*(1+$G$2)),0)+IF($H18&gt;0,MIN($R$3,$H18*(1+$H$2)),0)+IF($I18&gt;0,MIN($S$3,$I18*(1+$I$2)),0)+IF($J18&gt;0,MIN($T$3,$J18*(1+$J$2)),0)+IF($L18&gt;0,MIN($V$3,$L18*(1+$L$2)),0)))),MIN($U$3,$K18*(1+K$2))))</f>
        <v/>
      </c>
      <c r="V19" s="37">
        <f>IF($L18&lt;=0,0,IF($Y19=10,MIN($L18*(1+L$2),MAX(0,$B19-(IF($C18&gt;0,MIN($M$3,$C18*(1+$C$2)),0)+IF($D18&gt;0,MIN($N$3,$D18*(1+$D$2)),0)+IF($E18&gt;0,MIN($O$3,$E18*(1+$E$2)),0)+IF($F18&gt;0,MIN($P$3,$F18*(1+$F$2)),0)+IF($G18&gt;0,MIN($Q$3,$G18*(1+$G$2)),0)+IF($H18&gt;0,MIN($R$3,$H18*(1+$H$2)),0)+IF($I18&gt;0,MIN($S$3,$I18*(1+$I$2)),0)+IF($J18&gt;0,MIN($T$3,$J18*(1+$J$2)),0)+IF($K18&gt;0,MIN($U$3,$K18*(1+$K$2)),0)))),MIN($V$3,$L18*(1+L$2))))</f>
        <v/>
      </c>
      <c r="W19" s="37">
        <f>ROUND(SUMPRODUCT($C18:$L18,$C$2:$L$2),2)</f>
        <v/>
      </c>
      <c r="X19" s="37">
        <f>SUM($C19:$L19)</f>
        <v/>
      </c>
      <c r="Y19" s="43">
        <f>IF($X18=0,"",MIN(IF($C18&gt;0,1,'My Debts'!$B$13+1),IF($D18&gt;0,2,'My Debts'!$B$13+1),IF($E18&gt;0,3,'My Debts'!$B$13+1),IF($F18&gt;0,4,'My Debts'!$B$13+1),IF($G18&gt;0,5,'My Debts'!$B$13+1),IF($H18&gt;0,6,'My Debts'!$B$13+1),IF($I18&gt;0,7,'My Debts'!$B$13+1),IF($J18&gt;0,8,'My Debts'!$B$13+1),IF($K18&gt;0,9,'My Debts'!$B$13+1),IF($L18&gt;0,10,'My Debts'!$B$13+1)))</f>
        <v/>
      </c>
    </row>
    <row r="20" ht="18" customHeight="1" s="44">
      <c r="A20" s="42" t="n">
        <v>15</v>
      </c>
      <c r="B20" s="37">
        <f>IF($X19&gt;0,'My Debts'!$B$8,0)</f>
        <v/>
      </c>
      <c r="C20" s="37">
        <f>ROUND(MAX(0,$C19*(1+C$2)-M20),2)</f>
        <v/>
      </c>
      <c r="D20" s="37">
        <f>ROUND(MAX(0,$D19*(1+D$2)-N20),2)</f>
        <v/>
      </c>
      <c r="E20" s="37">
        <f>ROUND(MAX(0,$E19*(1+E$2)-O20),2)</f>
        <v/>
      </c>
      <c r="F20" s="37">
        <f>ROUND(MAX(0,$F19*(1+F$2)-P20),2)</f>
        <v/>
      </c>
      <c r="G20" s="37">
        <f>ROUND(MAX(0,$G19*(1+G$2)-Q20),2)</f>
        <v/>
      </c>
      <c r="H20" s="37">
        <f>ROUND(MAX(0,$H19*(1+H$2)-R20),2)</f>
        <v/>
      </c>
      <c r="I20" s="37">
        <f>ROUND(MAX(0,$I19*(1+I$2)-S20),2)</f>
        <v/>
      </c>
      <c r="J20" s="37">
        <f>ROUND(MAX(0,$J19*(1+J$2)-T20),2)</f>
        <v/>
      </c>
      <c r="K20" s="37">
        <f>ROUND(MAX(0,$K19*(1+K$2)-U20),2)</f>
        <v/>
      </c>
      <c r="L20" s="37">
        <f>ROUND(MAX(0,$L19*(1+L$2)-V20),2)</f>
        <v/>
      </c>
      <c r="M20" s="37">
        <f>IF($C19&lt;=0,0,IF($Y20=1,MIN($C19*(1+C$2),MAX(0,$B20-(IF($D19&gt;0,MIN($N$3,$D19*(1+$D$2)),0)+IF($E19&gt;0,MIN($O$3,$E19*(1+$E$2)),0)+IF($F19&gt;0,MIN($P$3,$F19*(1+$F$2)),0)+IF($G19&gt;0,MIN($Q$3,$G19*(1+$G$2)),0)+IF($H19&gt;0,MIN($R$3,$H19*(1+$H$2)),0)+IF($I19&gt;0,MIN($S$3,$I19*(1+$I$2)),0)+IF($J19&gt;0,MIN($T$3,$J19*(1+$J$2)),0)+IF($K19&gt;0,MIN($U$3,$K19*(1+$K$2)),0)+IF($L19&gt;0,MIN($V$3,$L19*(1+$L$2)),0)))),MIN($M$3,$C19*(1+C$2))))</f>
        <v/>
      </c>
      <c r="N20" s="37">
        <f>IF($D19&lt;=0,0,IF($Y20=2,MIN($D19*(1+D$2),MAX(0,$B20-(IF($C19&gt;0,MIN($M$3,$C19*(1+$C$2)),0)+IF($E19&gt;0,MIN($O$3,$E19*(1+$E$2)),0)+IF($F19&gt;0,MIN($P$3,$F19*(1+$F$2)),0)+IF($G19&gt;0,MIN($Q$3,$G19*(1+$G$2)),0)+IF($H19&gt;0,MIN($R$3,$H19*(1+$H$2)),0)+IF($I19&gt;0,MIN($S$3,$I19*(1+$I$2)),0)+IF($J19&gt;0,MIN($T$3,$J19*(1+$J$2)),0)+IF($K19&gt;0,MIN($U$3,$K19*(1+$K$2)),0)+IF($L19&gt;0,MIN($V$3,$L19*(1+$L$2)),0)))),MIN($N$3,$D19*(1+D$2))))</f>
        <v/>
      </c>
      <c r="O20" s="37">
        <f>IF($E19&lt;=0,0,IF($Y20=3,MIN($E19*(1+E$2),MAX(0,$B20-(IF($C19&gt;0,MIN($M$3,$C19*(1+$C$2)),0)+IF($D19&gt;0,MIN($N$3,$D19*(1+$D$2)),0)+IF($F19&gt;0,MIN($P$3,$F19*(1+$F$2)),0)+IF($G19&gt;0,MIN($Q$3,$G19*(1+$G$2)),0)+IF($H19&gt;0,MIN($R$3,$H19*(1+$H$2)),0)+IF($I19&gt;0,MIN($S$3,$I19*(1+$I$2)),0)+IF($J19&gt;0,MIN($T$3,$J19*(1+$J$2)),0)+IF($K19&gt;0,MIN($U$3,$K19*(1+$K$2)),0)+IF($L19&gt;0,MIN($V$3,$L19*(1+$L$2)),0)))),MIN($O$3,$E19*(1+E$2))))</f>
        <v/>
      </c>
      <c r="P20" s="37">
        <f>IF($F19&lt;=0,0,IF($Y20=4,MIN($F19*(1+F$2),MAX(0,$B20-(IF($C19&gt;0,MIN($M$3,$C19*(1+$C$2)),0)+IF($D19&gt;0,MIN($N$3,$D19*(1+$D$2)),0)+IF($E19&gt;0,MIN($O$3,$E19*(1+$E$2)),0)+IF($G19&gt;0,MIN($Q$3,$G19*(1+$G$2)),0)+IF($H19&gt;0,MIN($R$3,$H19*(1+$H$2)),0)+IF($I19&gt;0,MIN($S$3,$I19*(1+$I$2)),0)+IF($J19&gt;0,MIN($T$3,$J19*(1+$J$2)),0)+IF($K19&gt;0,MIN($U$3,$K19*(1+$K$2)),0)+IF($L19&gt;0,MIN($V$3,$L19*(1+$L$2)),0)))),MIN($P$3,$F19*(1+F$2))))</f>
        <v/>
      </c>
      <c r="Q20" s="37">
        <f>IF($G19&lt;=0,0,IF($Y20=5,MIN($G19*(1+G$2),MAX(0,$B20-(IF($C19&gt;0,MIN($M$3,$C19*(1+$C$2)),0)+IF($D19&gt;0,MIN($N$3,$D19*(1+$D$2)),0)+IF($E19&gt;0,MIN($O$3,$E19*(1+$E$2)),0)+IF($F19&gt;0,MIN($P$3,$F19*(1+$F$2)),0)+IF($H19&gt;0,MIN($R$3,$H19*(1+$H$2)),0)+IF($I19&gt;0,MIN($S$3,$I19*(1+$I$2)),0)+IF($J19&gt;0,MIN($T$3,$J19*(1+$J$2)),0)+IF($K19&gt;0,MIN($U$3,$K19*(1+$K$2)),0)+IF($L19&gt;0,MIN($V$3,$L19*(1+$L$2)),0)))),MIN($Q$3,$G19*(1+G$2))))</f>
        <v/>
      </c>
      <c r="R20" s="37">
        <f>IF($H19&lt;=0,0,IF($Y20=6,MIN($H19*(1+H$2),MAX(0,$B20-(IF($C19&gt;0,MIN($M$3,$C19*(1+$C$2)),0)+IF($D19&gt;0,MIN($N$3,$D19*(1+$D$2)),0)+IF($E19&gt;0,MIN($O$3,$E19*(1+$E$2)),0)+IF($F19&gt;0,MIN($P$3,$F19*(1+$F$2)),0)+IF($G19&gt;0,MIN($Q$3,$G19*(1+$G$2)),0)+IF($I19&gt;0,MIN($S$3,$I19*(1+$I$2)),0)+IF($J19&gt;0,MIN($T$3,$J19*(1+$J$2)),0)+IF($K19&gt;0,MIN($U$3,$K19*(1+$K$2)),0)+IF($L19&gt;0,MIN($V$3,$L19*(1+$L$2)),0)))),MIN($R$3,$H19*(1+H$2))))</f>
        <v/>
      </c>
      <c r="S20" s="37">
        <f>IF($I19&lt;=0,0,IF($Y20=7,MIN($I19*(1+I$2),MAX(0,$B20-(IF($C19&gt;0,MIN($M$3,$C19*(1+$C$2)),0)+IF($D19&gt;0,MIN($N$3,$D19*(1+$D$2)),0)+IF($E19&gt;0,MIN($O$3,$E19*(1+$E$2)),0)+IF($F19&gt;0,MIN($P$3,$F19*(1+$F$2)),0)+IF($G19&gt;0,MIN($Q$3,$G19*(1+$G$2)),0)+IF($H19&gt;0,MIN($R$3,$H19*(1+$H$2)),0)+IF($J19&gt;0,MIN($T$3,$J19*(1+$J$2)),0)+IF($K19&gt;0,MIN($U$3,$K19*(1+$K$2)),0)+IF($L19&gt;0,MIN($V$3,$L19*(1+$L$2)),0)))),MIN($S$3,$I19*(1+I$2))))</f>
        <v/>
      </c>
      <c r="T20" s="37">
        <f>IF($J19&lt;=0,0,IF($Y20=8,MIN($J19*(1+J$2),MAX(0,$B20-(IF($C19&gt;0,MIN($M$3,$C19*(1+$C$2)),0)+IF($D19&gt;0,MIN($N$3,$D19*(1+$D$2)),0)+IF($E19&gt;0,MIN($O$3,$E19*(1+$E$2)),0)+IF($F19&gt;0,MIN($P$3,$F19*(1+$F$2)),0)+IF($G19&gt;0,MIN($Q$3,$G19*(1+$G$2)),0)+IF($H19&gt;0,MIN($R$3,$H19*(1+$H$2)),0)+IF($I19&gt;0,MIN($S$3,$I19*(1+$I$2)),0)+IF($K19&gt;0,MIN($U$3,$K19*(1+$K$2)),0)+IF($L19&gt;0,MIN($V$3,$L19*(1+$L$2)),0)))),MIN($T$3,$J19*(1+J$2))))</f>
        <v/>
      </c>
      <c r="U20" s="37">
        <f>IF($K19&lt;=0,0,IF($Y20=9,MIN($K19*(1+K$2),MAX(0,$B20-(IF($C19&gt;0,MIN($M$3,$C19*(1+$C$2)),0)+IF($D19&gt;0,MIN($N$3,$D19*(1+$D$2)),0)+IF($E19&gt;0,MIN($O$3,$E19*(1+$E$2)),0)+IF($F19&gt;0,MIN($P$3,$F19*(1+$F$2)),0)+IF($G19&gt;0,MIN($Q$3,$G19*(1+$G$2)),0)+IF($H19&gt;0,MIN($R$3,$H19*(1+$H$2)),0)+IF($I19&gt;0,MIN($S$3,$I19*(1+$I$2)),0)+IF($J19&gt;0,MIN($T$3,$J19*(1+$J$2)),0)+IF($L19&gt;0,MIN($V$3,$L19*(1+$L$2)),0)))),MIN($U$3,$K19*(1+K$2))))</f>
        <v/>
      </c>
      <c r="V20" s="37">
        <f>IF($L19&lt;=0,0,IF($Y20=10,MIN($L19*(1+L$2),MAX(0,$B20-(IF($C19&gt;0,MIN($M$3,$C19*(1+$C$2)),0)+IF($D19&gt;0,MIN($N$3,$D19*(1+$D$2)),0)+IF($E19&gt;0,MIN($O$3,$E19*(1+$E$2)),0)+IF($F19&gt;0,MIN($P$3,$F19*(1+$F$2)),0)+IF($G19&gt;0,MIN($Q$3,$G19*(1+$G$2)),0)+IF($H19&gt;0,MIN($R$3,$H19*(1+$H$2)),0)+IF($I19&gt;0,MIN($S$3,$I19*(1+$I$2)),0)+IF($J19&gt;0,MIN($T$3,$J19*(1+$J$2)),0)+IF($K19&gt;0,MIN($U$3,$K19*(1+$K$2)),0)))),MIN($V$3,$L19*(1+L$2))))</f>
        <v/>
      </c>
      <c r="W20" s="37">
        <f>ROUND(SUMPRODUCT($C19:$L19,$C$2:$L$2),2)</f>
        <v/>
      </c>
      <c r="X20" s="37">
        <f>SUM($C20:$L20)</f>
        <v/>
      </c>
      <c r="Y20" s="43">
        <f>IF($X19=0,"",MIN(IF($C19&gt;0,1,'My Debts'!$B$13+1),IF($D19&gt;0,2,'My Debts'!$B$13+1),IF($E19&gt;0,3,'My Debts'!$B$13+1),IF($F19&gt;0,4,'My Debts'!$B$13+1),IF($G19&gt;0,5,'My Debts'!$B$13+1),IF($H19&gt;0,6,'My Debts'!$B$13+1),IF($I19&gt;0,7,'My Debts'!$B$13+1),IF($J19&gt;0,8,'My Debts'!$B$13+1),IF($K19&gt;0,9,'My Debts'!$B$13+1),IF($L19&gt;0,10,'My Debts'!$B$13+1)))</f>
        <v/>
      </c>
    </row>
    <row r="21" ht="18" customHeight="1" s="44">
      <c r="A21" s="42" t="n">
        <v>16</v>
      </c>
      <c r="B21" s="37">
        <f>IF($X20&gt;0,'My Debts'!$B$8,0)</f>
        <v/>
      </c>
      <c r="C21" s="37">
        <f>ROUND(MAX(0,$C20*(1+C$2)-M21),2)</f>
        <v/>
      </c>
      <c r="D21" s="37">
        <f>ROUND(MAX(0,$D20*(1+D$2)-N21),2)</f>
        <v/>
      </c>
      <c r="E21" s="37">
        <f>ROUND(MAX(0,$E20*(1+E$2)-O21),2)</f>
        <v/>
      </c>
      <c r="F21" s="37">
        <f>ROUND(MAX(0,$F20*(1+F$2)-P21),2)</f>
        <v/>
      </c>
      <c r="G21" s="37">
        <f>ROUND(MAX(0,$G20*(1+G$2)-Q21),2)</f>
        <v/>
      </c>
      <c r="H21" s="37">
        <f>ROUND(MAX(0,$H20*(1+H$2)-R21),2)</f>
        <v/>
      </c>
      <c r="I21" s="37">
        <f>ROUND(MAX(0,$I20*(1+I$2)-S21),2)</f>
        <v/>
      </c>
      <c r="J21" s="37">
        <f>ROUND(MAX(0,$J20*(1+J$2)-T21),2)</f>
        <v/>
      </c>
      <c r="K21" s="37">
        <f>ROUND(MAX(0,$K20*(1+K$2)-U21),2)</f>
        <v/>
      </c>
      <c r="L21" s="37">
        <f>ROUND(MAX(0,$L20*(1+L$2)-V21),2)</f>
        <v/>
      </c>
      <c r="M21" s="37">
        <f>IF($C20&lt;=0,0,IF($Y21=1,MIN($C20*(1+C$2),MAX(0,$B21-(IF($D20&gt;0,MIN($N$3,$D20*(1+$D$2)),0)+IF($E20&gt;0,MIN($O$3,$E20*(1+$E$2)),0)+IF($F20&gt;0,MIN($P$3,$F20*(1+$F$2)),0)+IF($G20&gt;0,MIN($Q$3,$G20*(1+$G$2)),0)+IF($H20&gt;0,MIN($R$3,$H20*(1+$H$2)),0)+IF($I20&gt;0,MIN($S$3,$I20*(1+$I$2)),0)+IF($J20&gt;0,MIN($T$3,$J20*(1+$J$2)),0)+IF($K20&gt;0,MIN($U$3,$K20*(1+$K$2)),0)+IF($L20&gt;0,MIN($V$3,$L20*(1+$L$2)),0)))),MIN($M$3,$C20*(1+C$2))))</f>
        <v/>
      </c>
      <c r="N21" s="37">
        <f>IF($D20&lt;=0,0,IF($Y21=2,MIN($D20*(1+D$2),MAX(0,$B21-(IF($C20&gt;0,MIN($M$3,$C20*(1+$C$2)),0)+IF($E20&gt;0,MIN($O$3,$E20*(1+$E$2)),0)+IF($F20&gt;0,MIN($P$3,$F20*(1+$F$2)),0)+IF($G20&gt;0,MIN($Q$3,$G20*(1+$G$2)),0)+IF($H20&gt;0,MIN($R$3,$H20*(1+$H$2)),0)+IF($I20&gt;0,MIN($S$3,$I20*(1+$I$2)),0)+IF($J20&gt;0,MIN($T$3,$J20*(1+$J$2)),0)+IF($K20&gt;0,MIN($U$3,$K20*(1+$K$2)),0)+IF($L20&gt;0,MIN($V$3,$L20*(1+$L$2)),0)))),MIN($N$3,$D20*(1+D$2))))</f>
        <v/>
      </c>
      <c r="O21" s="37">
        <f>IF($E20&lt;=0,0,IF($Y21=3,MIN($E20*(1+E$2),MAX(0,$B21-(IF($C20&gt;0,MIN($M$3,$C20*(1+$C$2)),0)+IF($D20&gt;0,MIN($N$3,$D20*(1+$D$2)),0)+IF($F20&gt;0,MIN($P$3,$F20*(1+$F$2)),0)+IF($G20&gt;0,MIN($Q$3,$G20*(1+$G$2)),0)+IF($H20&gt;0,MIN($R$3,$H20*(1+$H$2)),0)+IF($I20&gt;0,MIN($S$3,$I20*(1+$I$2)),0)+IF($J20&gt;0,MIN($T$3,$J20*(1+$J$2)),0)+IF($K20&gt;0,MIN($U$3,$K20*(1+$K$2)),0)+IF($L20&gt;0,MIN($V$3,$L20*(1+$L$2)),0)))),MIN($O$3,$E20*(1+E$2))))</f>
        <v/>
      </c>
      <c r="P21" s="37">
        <f>IF($F20&lt;=0,0,IF($Y21=4,MIN($F20*(1+F$2),MAX(0,$B21-(IF($C20&gt;0,MIN($M$3,$C20*(1+$C$2)),0)+IF($D20&gt;0,MIN($N$3,$D20*(1+$D$2)),0)+IF($E20&gt;0,MIN($O$3,$E20*(1+$E$2)),0)+IF($G20&gt;0,MIN($Q$3,$G20*(1+$G$2)),0)+IF($H20&gt;0,MIN($R$3,$H20*(1+$H$2)),0)+IF($I20&gt;0,MIN($S$3,$I20*(1+$I$2)),0)+IF($J20&gt;0,MIN($T$3,$J20*(1+$J$2)),0)+IF($K20&gt;0,MIN($U$3,$K20*(1+$K$2)),0)+IF($L20&gt;0,MIN($V$3,$L20*(1+$L$2)),0)))),MIN($P$3,$F20*(1+F$2))))</f>
        <v/>
      </c>
      <c r="Q21" s="37">
        <f>IF($G20&lt;=0,0,IF($Y21=5,MIN($G20*(1+G$2),MAX(0,$B21-(IF($C20&gt;0,MIN($M$3,$C20*(1+$C$2)),0)+IF($D20&gt;0,MIN($N$3,$D20*(1+$D$2)),0)+IF($E20&gt;0,MIN($O$3,$E20*(1+$E$2)),0)+IF($F20&gt;0,MIN($P$3,$F20*(1+$F$2)),0)+IF($H20&gt;0,MIN($R$3,$H20*(1+$H$2)),0)+IF($I20&gt;0,MIN($S$3,$I20*(1+$I$2)),0)+IF($J20&gt;0,MIN($T$3,$J20*(1+$J$2)),0)+IF($K20&gt;0,MIN($U$3,$K20*(1+$K$2)),0)+IF($L20&gt;0,MIN($V$3,$L20*(1+$L$2)),0)))),MIN($Q$3,$G20*(1+G$2))))</f>
        <v/>
      </c>
      <c r="R21" s="37">
        <f>IF($H20&lt;=0,0,IF($Y21=6,MIN($H20*(1+H$2),MAX(0,$B21-(IF($C20&gt;0,MIN($M$3,$C20*(1+$C$2)),0)+IF($D20&gt;0,MIN($N$3,$D20*(1+$D$2)),0)+IF($E20&gt;0,MIN($O$3,$E20*(1+$E$2)),0)+IF($F20&gt;0,MIN($P$3,$F20*(1+$F$2)),0)+IF($G20&gt;0,MIN($Q$3,$G20*(1+$G$2)),0)+IF($I20&gt;0,MIN($S$3,$I20*(1+$I$2)),0)+IF($J20&gt;0,MIN($T$3,$J20*(1+$J$2)),0)+IF($K20&gt;0,MIN($U$3,$K20*(1+$K$2)),0)+IF($L20&gt;0,MIN($V$3,$L20*(1+$L$2)),0)))),MIN($R$3,$H20*(1+H$2))))</f>
        <v/>
      </c>
      <c r="S21" s="37">
        <f>IF($I20&lt;=0,0,IF($Y21=7,MIN($I20*(1+I$2),MAX(0,$B21-(IF($C20&gt;0,MIN($M$3,$C20*(1+$C$2)),0)+IF($D20&gt;0,MIN($N$3,$D20*(1+$D$2)),0)+IF($E20&gt;0,MIN($O$3,$E20*(1+$E$2)),0)+IF($F20&gt;0,MIN($P$3,$F20*(1+$F$2)),0)+IF($G20&gt;0,MIN($Q$3,$G20*(1+$G$2)),0)+IF($H20&gt;0,MIN($R$3,$H20*(1+$H$2)),0)+IF($J20&gt;0,MIN($T$3,$J20*(1+$J$2)),0)+IF($K20&gt;0,MIN($U$3,$K20*(1+$K$2)),0)+IF($L20&gt;0,MIN($V$3,$L20*(1+$L$2)),0)))),MIN($S$3,$I20*(1+I$2))))</f>
        <v/>
      </c>
      <c r="T21" s="37">
        <f>IF($J20&lt;=0,0,IF($Y21=8,MIN($J20*(1+J$2),MAX(0,$B21-(IF($C20&gt;0,MIN($M$3,$C20*(1+$C$2)),0)+IF($D20&gt;0,MIN($N$3,$D20*(1+$D$2)),0)+IF($E20&gt;0,MIN($O$3,$E20*(1+$E$2)),0)+IF($F20&gt;0,MIN($P$3,$F20*(1+$F$2)),0)+IF($G20&gt;0,MIN($Q$3,$G20*(1+$G$2)),0)+IF($H20&gt;0,MIN($R$3,$H20*(1+$H$2)),0)+IF($I20&gt;0,MIN($S$3,$I20*(1+$I$2)),0)+IF($K20&gt;0,MIN($U$3,$K20*(1+$K$2)),0)+IF($L20&gt;0,MIN($V$3,$L20*(1+$L$2)),0)))),MIN($T$3,$J20*(1+J$2))))</f>
        <v/>
      </c>
      <c r="U21" s="37">
        <f>IF($K20&lt;=0,0,IF($Y21=9,MIN($K20*(1+K$2),MAX(0,$B21-(IF($C20&gt;0,MIN($M$3,$C20*(1+$C$2)),0)+IF($D20&gt;0,MIN($N$3,$D20*(1+$D$2)),0)+IF($E20&gt;0,MIN($O$3,$E20*(1+$E$2)),0)+IF($F20&gt;0,MIN($P$3,$F20*(1+$F$2)),0)+IF($G20&gt;0,MIN($Q$3,$G20*(1+$G$2)),0)+IF($H20&gt;0,MIN($R$3,$H20*(1+$H$2)),0)+IF($I20&gt;0,MIN($S$3,$I20*(1+$I$2)),0)+IF($J20&gt;0,MIN($T$3,$J20*(1+$J$2)),0)+IF($L20&gt;0,MIN($V$3,$L20*(1+$L$2)),0)))),MIN($U$3,$K20*(1+K$2))))</f>
        <v/>
      </c>
      <c r="V21" s="37">
        <f>IF($L20&lt;=0,0,IF($Y21=10,MIN($L20*(1+L$2),MAX(0,$B21-(IF($C20&gt;0,MIN($M$3,$C20*(1+$C$2)),0)+IF($D20&gt;0,MIN($N$3,$D20*(1+$D$2)),0)+IF($E20&gt;0,MIN($O$3,$E20*(1+$E$2)),0)+IF($F20&gt;0,MIN($P$3,$F20*(1+$F$2)),0)+IF($G20&gt;0,MIN($Q$3,$G20*(1+$G$2)),0)+IF($H20&gt;0,MIN($R$3,$H20*(1+$H$2)),0)+IF($I20&gt;0,MIN($S$3,$I20*(1+$I$2)),0)+IF($J20&gt;0,MIN($T$3,$J20*(1+$J$2)),0)+IF($K20&gt;0,MIN($U$3,$K20*(1+$K$2)),0)))),MIN($V$3,$L20*(1+L$2))))</f>
        <v/>
      </c>
      <c r="W21" s="37">
        <f>ROUND(SUMPRODUCT($C20:$L20,$C$2:$L$2),2)</f>
        <v/>
      </c>
      <c r="X21" s="37">
        <f>SUM($C21:$L21)</f>
        <v/>
      </c>
      <c r="Y21" s="43">
        <f>IF($X20=0,"",MIN(IF($C20&gt;0,1,'My Debts'!$B$13+1),IF($D20&gt;0,2,'My Debts'!$B$13+1),IF($E20&gt;0,3,'My Debts'!$B$13+1),IF($F20&gt;0,4,'My Debts'!$B$13+1),IF($G20&gt;0,5,'My Debts'!$B$13+1),IF($H20&gt;0,6,'My Debts'!$B$13+1),IF($I20&gt;0,7,'My Debts'!$B$13+1),IF($J20&gt;0,8,'My Debts'!$B$13+1),IF($K20&gt;0,9,'My Debts'!$B$13+1),IF($L20&gt;0,10,'My Debts'!$B$13+1)))</f>
        <v/>
      </c>
    </row>
    <row r="22" ht="18" customHeight="1" s="44">
      <c r="A22" s="42" t="n">
        <v>17</v>
      </c>
      <c r="B22" s="37">
        <f>IF($X21&gt;0,'My Debts'!$B$8,0)</f>
        <v/>
      </c>
      <c r="C22" s="37">
        <f>ROUND(MAX(0,$C21*(1+C$2)-M22),2)</f>
        <v/>
      </c>
      <c r="D22" s="37">
        <f>ROUND(MAX(0,$D21*(1+D$2)-N22),2)</f>
        <v/>
      </c>
      <c r="E22" s="37">
        <f>ROUND(MAX(0,$E21*(1+E$2)-O22),2)</f>
        <v/>
      </c>
      <c r="F22" s="37">
        <f>ROUND(MAX(0,$F21*(1+F$2)-P22),2)</f>
        <v/>
      </c>
      <c r="G22" s="37">
        <f>ROUND(MAX(0,$G21*(1+G$2)-Q22),2)</f>
        <v/>
      </c>
      <c r="H22" s="37">
        <f>ROUND(MAX(0,$H21*(1+H$2)-R22),2)</f>
        <v/>
      </c>
      <c r="I22" s="37">
        <f>ROUND(MAX(0,$I21*(1+I$2)-S22),2)</f>
        <v/>
      </c>
      <c r="J22" s="37">
        <f>ROUND(MAX(0,$J21*(1+J$2)-T22),2)</f>
        <v/>
      </c>
      <c r="K22" s="37">
        <f>ROUND(MAX(0,$K21*(1+K$2)-U22),2)</f>
        <v/>
      </c>
      <c r="L22" s="37">
        <f>ROUND(MAX(0,$L21*(1+L$2)-V22),2)</f>
        <v/>
      </c>
      <c r="M22" s="37">
        <f>IF($C21&lt;=0,0,IF($Y22=1,MIN($C21*(1+C$2),MAX(0,$B22-(IF($D21&gt;0,MIN($N$3,$D21*(1+$D$2)),0)+IF($E21&gt;0,MIN($O$3,$E21*(1+$E$2)),0)+IF($F21&gt;0,MIN($P$3,$F21*(1+$F$2)),0)+IF($G21&gt;0,MIN($Q$3,$G21*(1+$G$2)),0)+IF($H21&gt;0,MIN($R$3,$H21*(1+$H$2)),0)+IF($I21&gt;0,MIN($S$3,$I21*(1+$I$2)),0)+IF($J21&gt;0,MIN($T$3,$J21*(1+$J$2)),0)+IF($K21&gt;0,MIN($U$3,$K21*(1+$K$2)),0)+IF($L21&gt;0,MIN($V$3,$L21*(1+$L$2)),0)))),MIN($M$3,$C21*(1+C$2))))</f>
        <v/>
      </c>
      <c r="N22" s="37">
        <f>IF($D21&lt;=0,0,IF($Y22=2,MIN($D21*(1+D$2),MAX(0,$B22-(IF($C21&gt;0,MIN($M$3,$C21*(1+$C$2)),0)+IF($E21&gt;0,MIN($O$3,$E21*(1+$E$2)),0)+IF($F21&gt;0,MIN($P$3,$F21*(1+$F$2)),0)+IF($G21&gt;0,MIN($Q$3,$G21*(1+$G$2)),0)+IF($H21&gt;0,MIN($R$3,$H21*(1+$H$2)),0)+IF($I21&gt;0,MIN($S$3,$I21*(1+$I$2)),0)+IF($J21&gt;0,MIN($T$3,$J21*(1+$J$2)),0)+IF($K21&gt;0,MIN($U$3,$K21*(1+$K$2)),0)+IF($L21&gt;0,MIN($V$3,$L21*(1+$L$2)),0)))),MIN($N$3,$D21*(1+D$2))))</f>
        <v/>
      </c>
      <c r="O22" s="37">
        <f>IF($E21&lt;=0,0,IF($Y22=3,MIN($E21*(1+E$2),MAX(0,$B22-(IF($C21&gt;0,MIN($M$3,$C21*(1+$C$2)),0)+IF($D21&gt;0,MIN($N$3,$D21*(1+$D$2)),0)+IF($F21&gt;0,MIN($P$3,$F21*(1+$F$2)),0)+IF($G21&gt;0,MIN($Q$3,$G21*(1+$G$2)),0)+IF($H21&gt;0,MIN($R$3,$H21*(1+$H$2)),0)+IF($I21&gt;0,MIN($S$3,$I21*(1+$I$2)),0)+IF($J21&gt;0,MIN($T$3,$J21*(1+$J$2)),0)+IF($K21&gt;0,MIN($U$3,$K21*(1+$K$2)),0)+IF($L21&gt;0,MIN($V$3,$L21*(1+$L$2)),0)))),MIN($O$3,$E21*(1+E$2))))</f>
        <v/>
      </c>
      <c r="P22" s="37">
        <f>IF($F21&lt;=0,0,IF($Y22=4,MIN($F21*(1+F$2),MAX(0,$B22-(IF($C21&gt;0,MIN($M$3,$C21*(1+$C$2)),0)+IF($D21&gt;0,MIN($N$3,$D21*(1+$D$2)),0)+IF($E21&gt;0,MIN($O$3,$E21*(1+$E$2)),0)+IF($G21&gt;0,MIN($Q$3,$G21*(1+$G$2)),0)+IF($H21&gt;0,MIN($R$3,$H21*(1+$H$2)),0)+IF($I21&gt;0,MIN($S$3,$I21*(1+$I$2)),0)+IF($J21&gt;0,MIN($T$3,$J21*(1+$J$2)),0)+IF($K21&gt;0,MIN($U$3,$K21*(1+$K$2)),0)+IF($L21&gt;0,MIN($V$3,$L21*(1+$L$2)),0)))),MIN($P$3,$F21*(1+F$2))))</f>
        <v/>
      </c>
      <c r="Q22" s="37">
        <f>IF($G21&lt;=0,0,IF($Y22=5,MIN($G21*(1+G$2),MAX(0,$B22-(IF($C21&gt;0,MIN($M$3,$C21*(1+$C$2)),0)+IF($D21&gt;0,MIN($N$3,$D21*(1+$D$2)),0)+IF($E21&gt;0,MIN($O$3,$E21*(1+$E$2)),0)+IF($F21&gt;0,MIN($P$3,$F21*(1+$F$2)),0)+IF($H21&gt;0,MIN($R$3,$H21*(1+$H$2)),0)+IF($I21&gt;0,MIN($S$3,$I21*(1+$I$2)),0)+IF($J21&gt;0,MIN($T$3,$J21*(1+$J$2)),0)+IF($K21&gt;0,MIN($U$3,$K21*(1+$K$2)),0)+IF($L21&gt;0,MIN($V$3,$L21*(1+$L$2)),0)))),MIN($Q$3,$G21*(1+G$2))))</f>
        <v/>
      </c>
      <c r="R22" s="37">
        <f>IF($H21&lt;=0,0,IF($Y22=6,MIN($H21*(1+H$2),MAX(0,$B22-(IF($C21&gt;0,MIN($M$3,$C21*(1+$C$2)),0)+IF($D21&gt;0,MIN($N$3,$D21*(1+$D$2)),0)+IF($E21&gt;0,MIN($O$3,$E21*(1+$E$2)),0)+IF($F21&gt;0,MIN($P$3,$F21*(1+$F$2)),0)+IF($G21&gt;0,MIN($Q$3,$G21*(1+$G$2)),0)+IF($I21&gt;0,MIN($S$3,$I21*(1+$I$2)),0)+IF($J21&gt;0,MIN($T$3,$J21*(1+$J$2)),0)+IF($K21&gt;0,MIN($U$3,$K21*(1+$K$2)),0)+IF($L21&gt;0,MIN($V$3,$L21*(1+$L$2)),0)))),MIN($R$3,$H21*(1+H$2))))</f>
        <v/>
      </c>
      <c r="S22" s="37">
        <f>IF($I21&lt;=0,0,IF($Y22=7,MIN($I21*(1+I$2),MAX(0,$B22-(IF($C21&gt;0,MIN($M$3,$C21*(1+$C$2)),0)+IF($D21&gt;0,MIN($N$3,$D21*(1+$D$2)),0)+IF($E21&gt;0,MIN($O$3,$E21*(1+$E$2)),0)+IF($F21&gt;0,MIN($P$3,$F21*(1+$F$2)),0)+IF($G21&gt;0,MIN($Q$3,$G21*(1+$G$2)),0)+IF($H21&gt;0,MIN($R$3,$H21*(1+$H$2)),0)+IF($J21&gt;0,MIN($T$3,$J21*(1+$J$2)),0)+IF($K21&gt;0,MIN($U$3,$K21*(1+$K$2)),0)+IF($L21&gt;0,MIN($V$3,$L21*(1+$L$2)),0)))),MIN($S$3,$I21*(1+I$2))))</f>
        <v/>
      </c>
      <c r="T22" s="37">
        <f>IF($J21&lt;=0,0,IF($Y22=8,MIN($J21*(1+J$2),MAX(0,$B22-(IF($C21&gt;0,MIN($M$3,$C21*(1+$C$2)),0)+IF($D21&gt;0,MIN($N$3,$D21*(1+$D$2)),0)+IF($E21&gt;0,MIN($O$3,$E21*(1+$E$2)),0)+IF($F21&gt;0,MIN($P$3,$F21*(1+$F$2)),0)+IF($G21&gt;0,MIN($Q$3,$G21*(1+$G$2)),0)+IF($H21&gt;0,MIN($R$3,$H21*(1+$H$2)),0)+IF($I21&gt;0,MIN($S$3,$I21*(1+$I$2)),0)+IF($K21&gt;0,MIN($U$3,$K21*(1+$K$2)),0)+IF($L21&gt;0,MIN($V$3,$L21*(1+$L$2)),0)))),MIN($T$3,$J21*(1+J$2))))</f>
        <v/>
      </c>
      <c r="U22" s="37">
        <f>IF($K21&lt;=0,0,IF($Y22=9,MIN($K21*(1+K$2),MAX(0,$B22-(IF($C21&gt;0,MIN($M$3,$C21*(1+$C$2)),0)+IF($D21&gt;0,MIN($N$3,$D21*(1+$D$2)),0)+IF($E21&gt;0,MIN($O$3,$E21*(1+$E$2)),0)+IF($F21&gt;0,MIN($P$3,$F21*(1+$F$2)),0)+IF($G21&gt;0,MIN($Q$3,$G21*(1+$G$2)),0)+IF($H21&gt;0,MIN($R$3,$H21*(1+$H$2)),0)+IF($I21&gt;0,MIN($S$3,$I21*(1+$I$2)),0)+IF($J21&gt;0,MIN($T$3,$J21*(1+$J$2)),0)+IF($L21&gt;0,MIN($V$3,$L21*(1+$L$2)),0)))),MIN($U$3,$K21*(1+K$2))))</f>
        <v/>
      </c>
      <c r="V22" s="37">
        <f>IF($L21&lt;=0,0,IF($Y22=10,MIN($L21*(1+L$2),MAX(0,$B22-(IF($C21&gt;0,MIN($M$3,$C21*(1+$C$2)),0)+IF($D21&gt;0,MIN($N$3,$D21*(1+$D$2)),0)+IF($E21&gt;0,MIN($O$3,$E21*(1+$E$2)),0)+IF($F21&gt;0,MIN($P$3,$F21*(1+$F$2)),0)+IF($G21&gt;0,MIN($Q$3,$G21*(1+$G$2)),0)+IF($H21&gt;0,MIN($R$3,$H21*(1+$H$2)),0)+IF($I21&gt;0,MIN($S$3,$I21*(1+$I$2)),0)+IF($J21&gt;0,MIN($T$3,$J21*(1+$J$2)),0)+IF($K21&gt;0,MIN($U$3,$K21*(1+$K$2)),0)))),MIN($V$3,$L21*(1+L$2))))</f>
        <v/>
      </c>
      <c r="W22" s="37">
        <f>ROUND(SUMPRODUCT($C21:$L21,$C$2:$L$2),2)</f>
        <v/>
      </c>
      <c r="X22" s="37">
        <f>SUM($C22:$L22)</f>
        <v/>
      </c>
      <c r="Y22" s="43">
        <f>IF($X21=0,"",MIN(IF($C21&gt;0,1,'My Debts'!$B$13+1),IF($D21&gt;0,2,'My Debts'!$B$13+1),IF($E21&gt;0,3,'My Debts'!$B$13+1),IF($F21&gt;0,4,'My Debts'!$B$13+1),IF($G21&gt;0,5,'My Debts'!$B$13+1),IF($H21&gt;0,6,'My Debts'!$B$13+1),IF($I21&gt;0,7,'My Debts'!$B$13+1),IF($J21&gt;0,8,'My Debts'!$B$13+1),IF($K21&gt;0,9,'My Debts'!$B$13+1),IF($L21&gt;0,10,'My Debts'!$B$13+1)))</f>
        <v/>
      </c>
    </row>
    <row r="23" ht="18" customHeight="1" s="44">
      <c r="A23" s="42" t="n">
        <v>18</v>
      </c>
      <c r="B23" s="37">
        <f>IF($X22&gt;0,'My Debts'!$B$8,0)</f>
        <v/>
      </c>
      <c r="C23" s="37">
        <f>ROUND(MAX(0,$C22*(1+C$2)-M23),2)</f>
        <v/>
      </c>
      <c r="D23" s="37">
        <f>ROUND(MAX(0,$D22*(1+D$2)-N23),2)</f>
        <v/>
      </c>
      <c r="E23" s="37">
        <f>ROUND(MAX(0,$E22*(1+E$2)-O23),2)</f>
        <v/>
      </c>
      <c r="F23" s="37">
        <f>ROUND(MAX(0,$F22*(1+F$2)-P23),2)</f>
        <v/>
      </c>
      <c r="G23" s="37">
        <f>ROUND(MAX(0,$G22*(1+G$2)-Q23),2)</f>
        <v/>
      </c>
      <c r="H23" s="37">
        <f>ROUND(MAX(0,$H22*(1+H$2)-R23),2)</f>
        <v/>
      </c>
      <c r="I23" s="37">
        <f>ROUND(MAX(0,$I22*(1+I$2)-S23),2)</f>
        <v/>
      </c>
      <c r="J23" s="37">
        <f>ROUND(MAX(0,$J22*(1+J$2)-T23),2)</f>
        <v/>
      </c>
      <c r="K23" s="37">
        <f>ROUND(MAX(0,$K22*(1+K$2)-U23),2)</f>
        <v/>
      </c>
      <c r="L23" s="37">
        <f>ROUND(MAX(0,$L22*(1+L$2)-V23),2)</f>
        <v/>
      </c>
      <c r="M23" s="37">
        <f>IF($C22&lt;=0,0,IF($Y23=1,MIN($C22*(1+C$2),MAX(0,$B23-(IF($D22&gt;0,MIN($N$3,$D22*(1+$D$2)),0)+IF($E22&gt;0,MIN($O$3,$E22*(1+$E$2)),0)+IF($F22&gt;0,MIN($P$3,$F22*(1+$F$2)),0)+IF($G22&gt;0,MIN($Q$3,$G22*(1+$G$2)),0)+IF($H22&gt;0,MIN($R$3,$H22*(1+$H$2)),0)+IF($I22&gt;0,MIN($S$3,$I22*(1+$I$2)),0)+IF($J22&gt;0,MIN($T$3,$J22*(1+$J$2)),0)+IF($K22&gt;0,MIN($U$3,$K22*(1+$K$2)),0)+IF($L22&gt;0,MIN($V$3,$L22*(1+$L$2)),0)))),MIN($M$3,$C22*(1+C$2))))</f>
        <v/>
      </c>
      <c r="N23" s="37">
        <f>IF($D22&lt;=0,0,IF($Y23=2,MIN($D22*(1+D$2),MAX(0,$B23-(IF($C22&gt;0,MIN($M$3,$C22*(1+$C$2)),0)+IF($E22&gt;0,MIN($O$3,$E22*(1+$E$2)),0)+IF($F22&gt;0,MIN($P$3,$F22*(1+$F$2)),0)+IF($G22&gt;0,MIN($Q$3,$G22*(1+$G$2)),0)+IF($H22&gt;0,MIN($R$3,$H22*(1+$H$2)),0)+IF($I22&gt;0,MIN($S$3,$I22*(1+$I$2)),0)+IF($J22&gt;0,MIN($T$3,$J22*(1+$J$2)),0)+IF($K22&gt;0,MIN($U$3,$K22*(1+$K$2)),0)+IF($L22&gt;0,MIN($V$3,$L22*(1+$L$2)),0)))),MIN($N$3,$D22*(1+D$2))))</f>
        <v/>
      </c>
      <c r="O23" s="37">
        <f>IF($E22&lt;=0,0,IF($Y23=3,MIN($E22*(1+E$2),MAX(0,$B23-(IF($C22&gt;0,MIN($M$3,$C22*(1+$C$2)),0)+IF($D22&gt;0,MIN($N$3,$D22*(1+$D$2)),0)+IF($F22&gt;0,MIN($P$3,$F22*(1+$F$2)),0)+IF($G22&gt;0,MIN($Q$3,$G22*(1+$G$2)),0)+IF($H22&gt;0,MIN($R$3,$H22*(1+$H$2)),0)+IF($I22&gt;0,MIN($S$3,$I22*(1+$I$2)),0)+IF($J22&gt;0,MIN($T$3,$J22*(1+$J$2)),0)+IF($K22&gt;0,MIN($U$3,$K22*(1+$K$2)),0)+IF($L22&gt;0,MIN($V$3,$L22*(1+$L$2)),0)))),MIN($O$3,$E22*(1+E$2))))</f>
        <v/>
      </c>
      <c r="P23" s="37">
        <f>IF($F22&lt;=0,0,IF($Y23=4,MIN($F22*(1+F$2),MAX(0,$B23-(IF($C22&gt;0,MIN($M$3,$C22*(1+$C$2)),0)+IF($D22&gt;0,MIN($N$3,$D22*(1+$D$2)),0)+IF($E22&gt;0,MIN($O$3,$E22*(1+$E$2)),0)+IF($G22&gt;0,MIN($Q$3,$G22*(1+$G$2)),0)+IF($H22&gt;0,MIN($R$3,$H22*(1+$H$2)),0)+IF($I22&gt;0,MIN($S$3,$I22*(1+$I$2)),0)+IF($J22&gt;0,MIN($T$3,$J22*(1+$J$2)),0)+IF($K22&gt;0,MIN($U$3,$K22*(1+$K$2)),0)+IF($L22&gt;0,MIN($V$3,$L22*(1+$L$2)),0)))),MIN($P$3,$F22*(1+F$2))))</f>
        <v/>
      </c>
      <c r="Q23" s="37">
        <f>IF($G22&lt;=0,0,IF($Y23=5,MIN($G22*(1+G$2),MAX(0,$B23-(IF($C22&gt;0,MIN($M$3,$C22*(1+$C$2)),0)+IF($D22&gt;0,MIN($N$3,$D22*(1+$D$2)),0)+IF($E22&gt;0,MIN($O$3,$E22*(1+$E$2)),0)+IF($F22&gt;0,MIN($P$3,$F22*(1+$F$2)),0)+IF($H22&gt;0,MIN($R$3,$H22*(1+$H$2)),0)+IF($I22&gt;0,MIN($S$3,$I22*(1+$I$2)),0)+IF($J22&gt;0,MIN($T$3,$J22*(1+$J$2)),0)+IF($K22&gt;0,MIN($U$3,$K22*(1+$K$2)),0)+IF($L22&gt;0,MIN($V$3,$L22*(1+$L$2)),0)))),MIN($Q$3,$G22*(1+G$2))))</f>
        <v/>
      </c>
      <c r="R23" s="37">
        <f>IF($H22&lt;=0,0,IF($Y23=6,MIN($H22*(1+H$2),MAX(0,$B23-(IF($C22&gt;0,MIN($M$3,$C22*(1+$C$2)),0)+IF($D22&gt;0,MIN($N$3,$D22*(1+$D$2)),0)+IF($E22&gt;0,MIN($O$3,$E22*(1+$E$2)),0)+IF($F22&gt;0,MIN($P$3,$F22*(1+$F$2)),0)+IF($G22&gt;0,MIN($Q$3,$G22*(1+$G$2)),0)+IF($I22&gt;0,MIN($S$3,$I22*(1+$I$2)),0)+IF($J22&gt;0,MIN($T$3,$J22*(1+$J$2)),0)+IF($K22&gt;0,MIN($U$3,$K22*(1+$K$2)),0)+IF($L22&gt;0,MIN($V$3,$L22*(1+$L$2)),0)))),MIN($R$3,$H22*(1+H$2))))</f>
        <v/>
      </c>
      <c r="S23" s="37">
        <f>IF($I22&lt;=0,0,IF($Y23=7,MIN($I22*(1+I$2),MAX(0,$B23-(IF($C22&gt;0,MIN($M$3,$C22*(1+$C$2)),0)+IF($D22&gt;0,MIN($N$3,$D22*(1+$D$2)),0)+IF($E22&gt;0,MIN($O$3,$E22*(1+$E$2)),0)+IF($F22&gt;0,MIN($P$3,$F22*(1+$F$2)),0)+IF($G22&gt;0,MIN($Q$3,$G22*(1+$G$2)),0)+IF($H22&gt;0,MIN($R$3,$H22*(1+$H$2)),0)+IF($J22&gt;0,MIN($T$3,$J22*(1+$J$2)),0)+IF($K22&gt;0,MIN($U$3,$K22*(1+$K$2)),0)+IF($L22&gt;0,MIN($V$3,$L22*(1+$L$2)),0)))),MIN($S$3,$I22*(1+I$2))))</f>
        <v/>
      </c>
      <c r="T23" s="37">
        <f>IF($J22&lt;=0,0,IF($Y23=8,MIN($J22*(1+J$2),MAX(0,$B23-(IF($C22&gt;0,MIN($M$3,$C22*(1+$C$2)),0)+IF($D22&gt;0,MIN($N$3,$D22*(1+$D$2)),0)+IF($E22&gt;0,MIN($O$3,$E22*(1+$E$2)),0)+IF($F22&gt;0,MIN($P$3,$F22*(1+$F$2)),0)+IF($G22&gt;0,MIN($Q$3,$G22*(1+$G$2)),0)+IF($H22&gt;0,MIN($R$3,$H22*(1+$H$2)),0)+IF($I22&gt;0,MIN($S$3,$I22*(1+$I$2)),0)+IF($K22&gt;0,MIN($U$3,$K22*(1+$K$2)),0)+IF($L22&gt;0,MIN($V$3,$L22*(1+$L$2)),0)))),MIN($T$3,$J22*(1+J$2))))</f>
        <v/>
      </c>
      <c r="U23" s="37">
        <f>IF($K22&lt;=0,0,IF($Y23=9,MIN($K22*(1+K$2),MAX(0,$B23-(IF($C22&gt;0,MIN($M$3,$C22*(1+$C$2)),0)+IF($D22&gt;0,MIN($N$3,$D22*(1+$D$2)),0)+IF($E22&gt;0,MIN($O$3,$E22*(1+$E$2)),0)+IF($F22&gt;0,MIN($P$3,$F22*(1+$F$2)),0)+IF($G22&gt;0,MIN($Q$3,$G22*(1+$G$2)),0)+IF($H22&gt;0,MIN($R$3,$H22*(1+$H$2)),0)+IF($I22&gt;0,MIN($S$3,$I22*(1+$I$2)),0)+IF($J22&gt;0,MIN($T$3,$J22*(1+$J$2)),0)+IF($L22&gt;0,MIN($V$3,$L22*(1+$L$2)),0)))),MIN($U$3,$K22*(1+K$2))))</f>
        <v/>
      </c>
      <c r="V23" s="37">
        <f>IF($L22&lt;=0,0,IF($Y23=10,MIN($L22*(1+L$2),MAX(0,$B23-(IF($C22&gt;0,MIN($M$3,$C22*(1+$C$2)),0)+IF($D22&gt;0,MIN($N$3,$D22*(1+$D$2)),0)+IF($E22&gt;0,MIN($O$3,$E22*(1+$E$2)),0)+IF($F22&gt;0,MIN($P$3,$F22*(1+$F$2)),0)+IF($G22&gt;0,MIN($Q$3,$G22*(1+$G$2)),0)+IF($H22&gt;0,MIN($R$3,$H22*(1+$H$2)),0)+IF($I22&gt;0,MIN($S$3,$I22*(1+$I$2)),0)+IF($J22&gt;0,MIN($T$3,$J22*(1+$J$2)),0)+IF($K22&gt;0,MIN($U$3,$K22*(1+$K$2)),0)))),MIN($V$3,$L22*(1+L$2))))</f>
        <v/>
      </c>
      <c r="W23" s="37">
        <f>ROUND(SUMPRODUCT($C22:$L22,$C$2:$L$2),2)</f>
        <v/>
      </c>
      <c r="X23" s="37">
        <f>SUM($C23:$L23)</f>
        <v/>
      </c>
      <c r="Y23" s="43">
        <f>IF($X22=0,"",MIN(IF($C22&gt;0,1,'My Debts'!$B$13+1),IF($D22&gt;0,2,'My Debts'!$B$13+1),IF($E22&gt;0,3,'My Debts'!$B$13+1),IF($F22&gt;0,4,'My Debts'!$B$13+1),IF($G22&gt;0,5,'My Debts'!$B$13+1),IF($H22&gt;0,6,'My Debts'!$B$13+1),IF($I22&gt;0,7,'My Debts'!$B$13+1),IF($J22&gt;0,8,'My Debts'!$B$13+1),IF($K22&gt;0,9,'My Debts'!$B$13+1),IF($L22&gt;0,10,'My Debts'!$B$13+1)))</f>
        <v/>
      </c>
    </row>
    <row r="24" ht="18" customHeight="1" s="44">
      <c r="A24" s="42" t="n">
        <v>19</v>
      </c>
      <c r="B24" s="37">
        <f>IF($X23&gt;0,'My Debts'!$B$8,0)</f>
        <v/>
      </c>
      <c r="C24" s="37">
        <f>ROUND(MAX(0,$C23*(1+C$2)-M24),2)</f>
        <v/>
      </c>
      <c r="D24" s="37">
        <f>ROUND(MAX(0,$D23*(1+D$2)-N24),2)</f>
        <v/>
      </c>
      <c r="E24" s="37">
        <f>ROUND(MAX(0,$E23*(1+E$2)-O24),2)</f>
        <v/>
      </c>
      <c r="F24" s="37">
        <f>ROUND(MAX(0,$F23*(1+F$2)-P24),2)</f>
        <v/>
      </c>
      <c r="G24" s="37">
        <f>ROUND(MAX(0,$G23*(1+G$2)-Q24),2)</f>
        <v/>
      </c>
      <c r="H24" s="37">
        <f>ROUND(MAX(0,$H23*(1+H$2)-R24),2)</f>
        <v/>
      </c>
      <c r="I24" s="37">
        <f>ROUND(MAX(0,$I23*(1+I$2)-S24),2)</f>
        <v/>
      </c>
      <c r="J24" s="37">
        <f>ROUND(MAX(0,$J23*(1+J$2)-T24),2)</f>
        <v/>
      </c>
      <c r="K24" s="37">
        <f>ROUND(MAX(0,$K23*(1+K$2)-U24),2)</f>
        <v/>
      </c>
      <c r="L24" s="37">
        <f>ROUND(MAX(0,$L23*(1+L$2)-V24),2)</f>
        <v/>
      </c>
      <c r="M24" s="37">
        <f>IF($C23&lt;=0,0,IF($Y24=1,MIN($C23*(1+C$2),MAX(0,$B24-(IF($D23&gt;0,MIN($N$3,$D23*(1+$D$2)),0)+IF($E23&gt;0,MIN($O$3,$E23*(1+$E$2)),0)+IF($F23&gt;0,MIN($P$3,$F23*(1+$F$2)),0)+IF($G23&gt;0,MIN($Q$3,$G23*(1+$G$2)),0)+IF($H23&gt;0,MIN($R$3,$H23*(1+$H$2)),0)+IF($I23&gt;0,MIN($S$3,$I23*(1+$I$2)),0)+IF($J23&gt;0,MIN($T$3,$J23*(1+$J$2)),0)+IF($K23&gt;0,MIN($U$3,$K23*(1+$K$2)),0)+IF($L23&gt;0,MIN($V$3,$L23*(1+$L$2)),0)))),MIN($M$3,$C23*(1+C$2))))</f>
        <v/>
      </c>
      <c r="N24" s="37">
        <f>IF($D23&lt;=0,0,IF($Y24=2,MIN($D23*(1+D$2),MAX(0,$B24-(IF($C23&gt;0,MIN($M$3,$C23*(1+$C$2)),0)+IF($E23&gt;0,MIN($O$3,$E23*(1+$E$2)),0)+IF($F23&gt;0,MIN($P$3,$F23*(1+$F$2)),0)+IF($G23&gt;0,MIN($Q$3,$G23*(1+$G$2)),0)+IF($H23&gt;0,MIN($R$3,$H23*(1+$H$2)),0)+IF($I23&gt;0,MIN($S$3,$I23*(1+$I$2)),0)+IF($J23&gt;0,MIN($T$3,$J23*(1+$J$2)),0)+IF($K23&gt;0,MIN($U$3,$K23*(1+$K$2)),0)+IF($L23&gt;0,MIN($V$3,$L23*(1+$L$2)),0)))),MIN($N$3,$D23*(1+D$2))))</f>
        <v/>
      </c>
      <c r="O24" s="37">
        <f>IF($E23&lt;=0,0,IF($Y24=3,MIN($E23*(1+E$2),MAX(0,$B24-(IF($C23&gt;0,MIN($M$3,$C23*(1+$C$2)),0)+IF($D23&gt;0,MIN($N$3,$D23*(1+$D$2)),0)+IF($F23&gt;0,MIN($P$3,$F23*(1+$F$2)),0)+IF($G23&gt;0,MIN($Q$3,$G23*(1+$G$2)),0)+IF($H23&gt;0,MIN($R$3,$H23*(1+$H$2)),0)+IF($I23&gt;0,MIN($S$3,$I23*(1+$I$2)),0)+IF($J23&gt;0,MIN($T$3,$J23*(1+$J$2)),0)+IF($K23&gt;0,MIN($U$3,$K23*(1+$K$2)),0)+IF($L23&gt;0,MIN($V$3,$L23*(1+$L$2)),0)))),MIN($O$3,$E23*(1+E$2))))</f>
        <v/>
      </c>
      <c r="P24" s="37">
        <f>IF($F23&lt;=0,0,IF($Y24=4,MIN($F23*(1+F$2),MAX(0,$B24-(IF($C23&gt;0,MIN($M$3,$C23*(1+$C$2)),0)+IF($D23&gt;0,MIN($N$3,$D23*(1+$D$2)),0)+IF($E23&gt;0,MIN($O$3,$E23*(1+$E$2)),0)+IF($G23&gt;0,MIN($Q$3,$G23*(1+$G$2)),0)+IF($H23&gt;0,MIN($R$3,$H23*(1+$H$2)),0)+IF($I23&gt;0,MIN($S$3,$I23*(1+$I$2)),0)+IF($J23&gt;0,MIN($T$3,$J23*(1+$J$2)),0)+IF($K23&gt;0,MIN($U$3,$K23*(1+$K$2)),0)+IF($L23&gt;0,MIN($V$3,$L23*(1+$L$2)),0)))),MIN($P$3,$F23*(1+F$2))))</f>
        <v/>
      </c>
      <c r="Q24" s="37">
        <f>IF($G23&lt;=0,0,IF($Y24=5,MIN($G23*(1+G$2),MAX(0,$B24-(IF($C23&gt;0,MIN($M$3,$C23*(1+$C$2)),0)+IF($D23&gt;0,MIN($N$3,$D23*(1+$D$2)),0)+IF($E23&gt;0,MIN($O$3,$E23*(1+$E$2)),0)+IF($F23&gt;0,MIN($P$3,$F23*(1+$F$2)),0)+IF($H23&gt;0,MIN($R$3,$H23*(1+$H$2)),0)+IF($I23&gt;0,MIN($S$3,$I23*(1+$I$2)),0)+IF($J23&gt;0,MIN($T$3,$J23*(1+$J$2)),0)+IF($K23&gt;0,MIN($U$3,$K23*(1+$K$2)),0)+IF($L23&gt;0,MIN($V$3,$L23*(1+$L$2)),0)))),MIN($Q$3,$G23*(1+G$2))))</f>
        <v/>
      </c>
      <c r="R24" s="37">
        <f>IF($H23&lt;=0,0,IF($Y24=6,MIN($H23*(1+H$2),MAX(0,$B24-(IF($C23&gt;0,MIN($M$3,$C23*(1+$C$2)),0)+IF($D23&gt;0,MIN($N$3,$D23*(1+$D$2)),0)+IF($E23&gt;0,MIN($O$3,$E23*(1+$E$2)),0)+IF($F23&gt;0,MIN($P$3,$F23*(1+$F$2)),0)+IF($G23&gt;0,MIN($Q$3,$G23*(1+$G$2)),0)+IF($I23&gt;0,MIN($S$3,$I23*(1+$I$2)),0)+IF($J23&gt;0,MIN($T$3,$J23*(1+$J$2)),0)+IF($K23&gt;0,MIN($U$3,$K23*(1+$K$2)),0)+IF($L23&gt;0,MIN($V$3,$L23*(1+$L$2)),0)))),MIN($R$3,$H23*(1+H$2))))</f>
        <v/>
      </c>
      <c r="S24" s="37">
        <f>IF($I23&lt;=0,0,IF($Y24=7,MIN($I23*(1+I$2),MAX(0,$B24-(IF($C23&gt;0,MIN($M$3,$C23*(1+$C$2)),0)+IF($D23&gt;0,MIN($N$3,$D23*(1+$D$2)),0)+IF($E23&gt;0,MIN($O$3,$E23*(1+$E$2)),0)+IF($F23&gt;0,MIN($P$3,$F23*(1+$F$2)),0)+IF($G23&gt;0,MIN($Q$3,$G23*(1+$G$2)),0)+IF($H23&gt;0,MIN($R$3,$H23*(1+$H$2)),0)+IF($J23&gt;0,MIN($T$3,$J23*(1+$J$2)),0)+IF($K23&gt;0,MIN($U$3,$K23*(1+$K$2)),0)+IF($L23&gt;0,MIN($V$3,$L23*(1+$L$2)),0)))),MIN($S$3,$I23*(1+I$2))))</f>
        <v/>
      </c>
      <c r="T24" s="37">
        <f>IF($J23&lt;=0,0,IF($Y24=8,MIN($J23*(1+J$2),MAX(0,$B24-(IF($C23&gt;0,MIN($M$3,$C23*(1+$C$2)),0)+IF($D23&gt;0,MIN($N$3,$D23*(1+$D$2)),0)+IF($E23&gt;0,MIN($O$3,$E23*(1+$E$2)),0)+IF($F23&gt;0,MIN($P$3,$F23*(1+$F$2)),0)+IF($G23&gt;0,MIN($Q$3,$G23*(1+$G$2)),0)+IF($H23&gt;0,MIN($R$3,$H23*(1+$H$2)),0)+IF($I23&gt;0,MIN($S$3,$I23*(1+$I$2)),0)+IF($K23&gt;0,MIN($U$3,$K23*(1+$K$2)),0)+IF($L23&gt;0,MIN($V$3,$L23*(1+$L$2)),0)))),MIN($T$3,$J23*(1+J$2))))</f>
        <v/>
      </c>
      <c r="U24" s="37">
        <f>IF($K23&lt;=0,0,IF($Y24=9,MIN($K23*(1+K$2),MAX(0,$B24-(IF($C23&gt;0,MIN($M$3,$C23*(1+$C$2)),0)+IF($D23&gt;0,MIN($N$3,$D23*(1+$D$2)),0)+IF($E23&gt;0,MIN($O$3,$E23*(1+$E$2)),0)+IF($F23&gt;0,MIN($P$3,$F23*(1+$F$2)),0)+IF($G23&gt;0,MIN($Q$3,$G23*(1+$G$2)),0)+IF($H23&gt;0,MIN($R$3,$H23*(1+$H$2)),0)+IF($I23&gt;0,MIN($S$3,$I23*(1+$I$2)),0)+IF($J23&gt;0,MIN($T$3,$J23*(1+$J$2)),0)+IF($L23&gt;0,MIN($V$3,$L23*(1+$L$2)),0)))),MIN($U$3,$K23*(1+K$2))))</f>
        <v/>
      </c>
      <c r="V24" s="37">
        <f>IF($L23&lt;=0,0,IF($Y24=10,MIN($L23*(1+L$2),MAX(0,$B24-(IF($C23&gt;0,MIN($M$3,$C23*(1+$C$2)),0)+IF($D23&gt;0,MIN($N$3,$D23*(1+$D$2)),0)+IF($E23&gt;0,MIN($O$3,$E23*(1+$E$2)),0)+IF($F23&gt;0,MIN($P$3,$F23*(1+$F$2)),0)+IF($G23&gt;0,MIN($Q$3,$G23*(1+$G$2)),0)+IF($H23&gt;0,MIN($R$3,$H23*(1+$H$2)),0)+IF($I23&gt;0,MIN($S$3,$I23*(1+$I$2)),0)+IF($J23&gt;0,MIN($T$3,$J23*(1+$J$2)),0)+IF($K23&gt;0,MIN($U$3,$K23*(1+$K$2)),0)))),MIN($V$3,$L23*(1+L$2))))</f>
        <v/>
      </c>
      <c r="W24" s="37">
        <f>ROUND(SUMPRODUCT($C23:$L23,$C$2:$L$2),2)</f>
        <v/>
      </c>
      <c r="X24" s="37">
        <f>SUM($C24:$L24)</f>
        <v/>
      </c>
      <c r="Y24" s="43">
        <f>IF($X23=0,"",MIN(IF($C23&gt;0,1,'My Debts'!$B$13+1),IF($D23&gt;0,2,'My Debts'!$B$13+1),IF($E23&gt;0,3,'My Debts'!$B$13+1),IF($F23&gt;0,4,'My Debts'!$B$13+1),IF($G23&gt;0,5,'My Debts'!$B$13+1),IF($H23&gt;0,6,'My Debts'!$B$13+1),IF($I23&gt;0,7,'My Debts'!$B$13+1),IF($J23&gt;0,8,'My Debts'!$B$13+1),IF($K23&gt;0,9,'My Debts'!$B$13+1),IF($L23&gt;0,10,'My Debts'!$B$13+1)))</f>
        <v/>
      </c>
    </row>
    <row r="25" ht="18" customHeight="1" s="44">
      <c r="A25" s="42" t="n">
        <v>20</v>
      </c>
      <c r="B25" s="37">
        <f>IF($X24&gt;0,'My Debts'!$B$8,0)</f>
        <v/>
      </c>
      <c r="C25" s="37">
        <f>ROUND(MAX(0,$C24*(1+C$2)-M25),2)</f>
        <v/>
      </c>
      <c r="D25" s="37">
        <f>ROUND(MAX(0,$D24*(1+D$2)-N25),2)</f>
        <v/>
      </c>
      <c r="E25" s="37">
        <f>ROUND(MAX(0,$E24*(1+E$2)-O25),2)</f>
        <v/>
      </c>
      <c r="F25" s="37">
        <f>ROUND(MAX(0,$F24*(1+F$2)-P25),2)</f>
        <v/>
      </c>
      <c r="G25" s="37">
        <f>ROUND(MAX(0,$G24*(1+G$2)-Q25),2)</f>
        <v/>
      </c>
      <c r="H25" s="37">
        <f>ROUND(MAX(0,$H24*(1+H$2)-R25),2)</f>
        <v/>
      </c>
      <c r="I25" s="37">
        <f>ROUND(MAX(0,$I24*(1+I$2)-S25),2)</f>
        <v/>
      </c>
      <c r="J25" s="37">
        <f>ROUND(MAX(0,$J24*(1+J$2)-T25),2)</f>
        <v/>
      </c>
      <c r="K25" s="37">
        <f>ROUND(MAX(0,$K24*(1+K$2)-U25),2)</f>
        <v/>
      </c>
      <c r="L25" s="37">
        <f>ROUND(MAX(0,$L24*(1+L$2)-V25),2)</f>
        <v/>
      </c>
      <c r="M25" s="37">
        <f>IF($C24&lt;=0,0,IF($Y25=1,MIN($C24*(1+C$2),MAX(0,$B25-(IF($D24&gt;0,MIN($N$3,$D24*(1+$D$2)),0)+IF($E24&gt;0,MIN($O$3,$E24*(1+$E$2)),0)+IF($F24&gt;0,MIN($P$3,$F24*(1+$F$2)),0)+IF($G24&gt;0,MIN($Q$3,$G24*(1+$G$2)),0)+IF($H24&gt;0,MIN($R$3,$H24*(1+$H$2)),0)+IF($I24&gt;0,MIN($S$3,$I24*(1+$I$2)),0)+IF($J24&gt;0,MIN($T$3,$J24*(1+$J$2)),0)+IF($K24&gt;0,MIN($U$3,$K24*(1+$K$2)),0)+IF($L24&gt;0,MIN($V$3,$L24*(1+$L$2)),0)))),MIN($M$3,$C24*(1+C$2))))</f>
        <v/>
      </c>
      <c r="N25" s="37">
        <f>IF($D24&lt;=0,0,IF($Y25=2,MIN($D24*(1+D$2),MAX(0,$B25-(IF($C24&gt;0,MIN($M$3,$C24*(1+$C$2)),0)+IF($E24&gt;0,MIN($O$3,$E24*(1+$E$2)),0)+IF($F24&gt;0,MIN($P$3,$F24*(1+$F$2)),0)+IF($G24&gt;0,MIN($Q$3,$G24*(1+$G$2)),0)+IF($H24&gt;0,MIN($R$3,$H24*(1+$H$2)),0)+IF($I24&gt;0,MIN($S$3,$I24*(1+$I$2)),0)+IF($J24&gt;0,MIN($T$3,$J24*(1+$J$2)),0)+IF($K24&gt;0,MIN($U$3,$K24*(1+$K$2)),0)+IF($L24&gt;0,MIN($V$3,$L24*(1+$L$2)),0)))),MIN($N$3,$D24*(1+D$2))))</f>
        <v/>
      </c>
      <c r="O25" s="37">
        <f>IF($E24&lt;=0,0,IF($Y25=3,MIN($E24*(1+E$2),MAX(0,$B25-(IF($C24&gt;0,MIN($M$3,$C24*(1+$C$2)),0)+IF($D24&gt;0,MIN($N$3,$D24*(1+$D$2)),0)+IF($F24&gt;0,MIN($P$3,$F24*(1+$F$2)),0)+IF($G24&gt;0,MIN($Q$3,$G24*(1+$G$2)),0)+IF($H24&gt;0,MIN($R$3,$H24*(1+$H$2)),0)+IF($I24&gt;0,MIN($S$3,$I24*(1+$I$2)),0)+IF($J24&gt;0,MIN($T$3,$J24*(1+$J$2)),0)+IF($K24&gt;0,MIN($U$3,$K24*(1+$K$2)),0)+IF($L24&gt;0,MIN($V$3,$L24*(1+$L$2)),0)))),MIN($O$3,$E24*(1+E$2))))</f>
        <v/>
      </c>
      <c r="P25" s="37">
        <f>IF($F24&lt;=0,0,IF($Y25=4,MIN($F24*(1+F$2),MAX(0,$B25-(IF($C24&gt;0,MIN($M$3,$C24*(1+$C$2)),0)+IF($D24&gt;0,MIN($N$3,$D24*(1+$D$2)),0)+IF($E24&gt;0,MIN($O$3,$E24*(1+$E$2)),0)+IF($G24&gt;0,MIN($Q$3,$G24*(1+$G$2)),0)+IF($H24&gt;0,MIN($R$3,$H24*(1+$H$2)),0)+IF($I24&gt;0,MIN($S$3,$I24*(1+$I$2)),0)+IF($J24&gt;0,MIN($T$3,$J24*(1+$J$2)),0)+IF($K24&gt;0,MIN($U$3,$K24*(1+$K$2)),0)+IF($L24&gt;0,MIN($V$3,$L24*(1+$L$2)),0)))),MIN($P$3,$F24*(1+F$2))))</f>
        <v/>
      </c>
      <c r="Q25" s="37">
        <f>IF($G24&lt;=0,0,IF($Y25=5,MIN($G24*(1+G$2),MAX(0,$B25-(IF($C24&gt;0,MIN($M$3,$C24*(1+$C$2)),0)+IF($D24&gt;0,MIN($N$3,$D24*(1+$D$2)),0)+IF($E24&gt;0,MIN($O$3,$E24*(1+$E$2)),0)+IF($F24&gt;0,MIN($P$3,$F24*(1+$F$2)),0)+IF($H24&gt;0,MIN($R$3,$H24*(1+$H$2)),0)+IF($I24&gt;0,MIN($S$3,$I24*(1+$I$2)),0)+IF($J24&gt;0,MIN($T$3,$J24*(1+$J$2)),0)+IF($K24&gt;0,MIN($U$3,$K24*(1+$K$2)),0)+IF($L24&gt;0,MIN($V$3,$L24*(1+$L$2)),0)))),MIN($Q$3,$G24*(1+G$2))))</f>
        <v/>
      </c>
      <c r="R25" s="37">
        <f>IF($H24&lt;=0,0,IF($Y25=6,MIN($H24*(1+H$2),MAX(0,$B25-(IF($C24&gt;0,MIN($M$3,$C24*(1+$C$2)),0)+IF($D24&gt;0,MIN($N$3,$D24*(1+$D$2)),0)+IF($E24&gt;0,MIN($O$3,$E24*(1+$E$2)),0)+IF($F24&gt;0,MIN($P$3,$F24*(1+$F$2)),0)+IF($G24&gt;0,MIN($Q$3,$G24*(1+$G$2)),0)+IF($I24&gt;0,MIN($S$3,$I24*(1+$I$2)),0)+IF($J24&gt;0,MIN($T$3,$J24*(1+$J$2)),0)+IF($K24&gt;0,MIN($U$3,$K24*(1+$K$2)),0)+IF($L24&gt;0,MIN($V$3,$L24*(1+$L$2)),0)))),MIN($R$3,$H24*(1+H$2))))</f>
        <v/>
      </c>
      <c r="S25" s="37">
        <f>IF($I24&lt;=0,0,IF($Y25=7,MIN($I24*(1+I$2),MAX(0,$B25-(IF($C24&gt;0,MIN($M$3,$C24*(1+$C$2)),0)+IF($D24&gt;0,MIN($N$3,$D24*(1+$D$2)),0)+IF($E24&gt;0,MIN($O$3,$E24*(1+$E$2)),0)+IF($F24&gt;0,MIN($P$3,$F24*(1+$F$2)),0)+IF($G24&gt;0,MIN($Q$3,$G24*(1+$G$2)),0)+IF($H24&gt;0,MIN($R$3,$H24*(1+$H$2)),0)+IF($J24&gt;0,MIN($T$3,$J24*(1+$J$2)),0)+IF($K24&gt;0,MIN($U$3,$K24*(1+$K$2)),0)+IF($L24&gt;0,MIN($V$3,$L24*(1+$L$2)),0)))),MIN($S$3,$I24*(1+I$2))))</f>
        <v/>
      </c>
      <c r="T25" s="37">
        <f>IF($J24&lt;=0,0,IF($Y25=8,MIN($J24*(1+J$2),MAX(0,$B25-(IF($C24&gt;0,MIN($M$3,$C24*(1+$C$2)),0)+IF($D24&gt;0,MIN($N$3,$D24*(1+$D$2)),0)+IF($E24&gt;0,MIN($O$3,$E24*(1+$E$2)),0)+IF($F24&gt;0,MIN($P$3,$F24*(1+$F$2)),0)+IF($G24&gt;0,MIN($Q$3,$G24*(1+$G$2)),0)+IF($H24&gt;0,MIN($R$3,$H24*(1+$H$2)),0)+IF($I24&gt;0,MIN($S$3,$I24*(1+$I$2)),0)+IF($K24&gt;0,MIN($U$3,$K24*(1+$K$2)),0)+IF($L24&gt;0,MIN($V$3,$L24*(1+$L$2)),0)))),MIN($T$3,$J24*(1+J$2))))</f>
        <v/>
      </c>
      <c r="U25" s="37">
        <f>IF($K24&lt;=0,0,IF($Y25=9,MIN($K24*(1+K$2),MAX(0,$B25-(IF($C24&gt;0,MIN($M$3,$C24*(1+$C$2)),0)+IF($D24&gt;0,MIN($N$3,$D24*(1+$D$2)),0)+IF($E24&gt;0,MIN($O$3,$E24*(1+$E$2)),0)+IF($F24&gt;0,MIN($P$3,$F24*(1+$F$2)),0)+IF($G24&gt;0,MIN($Q$3,$G24*(1+$G$2)),0)+IF($H24&gt;0,MIN($R$3,$H24*(1+$H$2)),0)+IF($I24&gt;0,MIN($S$3,$I24*(1+$I$2)),0)+IF($J24&gt;0,MIN($T$3,$J24*(1+$J$2)),0)+IF($L24&gt;0,MIN($V$3,$L24*(1+$L$2)),0)))),MIN($U$3,$K24*(1+K$2))))</f>
        <v/>
      </c>
      <c r="V25" s="37">
        <f>IF($L24&lt;=0,0,IF($Y25=10,MIN($L24*(1+L$2),MAX(0,$B25-(IF($C24&gt;0,MIN($M$3,$C24*(1+$C$2)),0)+IF($D24&gt;0,MIN($N$3,$D24*(1+$D$2)),0)+IF($E24&gt;0,MIN($O$3,$E24*(1+$E$2)),0)+IF($F24&gt;0,MIN($P$3,$F24*(1+$F$2)),0)+IF($G24&gt;0,MIN($Q$3,$G24*(1+$G$2)),0)+IF($H24&gt;0,MIN($R$3,$H24*(1+$H$2)),0)+IF($I24&gt;0,MIN($S$3,$I24*(1+$I$2)),0)+IF($J24&gt;0,MIN($T$3,$J24*(1+$J$2)),0)+IF($K24&gt;0,MIN($U$3,$K24*(1+$K$2)),0)))),MIN($V$3,$L24*(1+L$2))))</f>
        <v/>
      </c>
      <c r="W25" s="37">
        <f>ROUND(SUMPRODUCT($C24:$L24,$C$2:$L$2),2)</f>
        <v/>
      </c>
      <c r="X25" s="37">
        <f>SUM($C25:$L25)</f>
        <v/>
      </c>
      <c r="Y25" s="43">
        <f>IF($X24=0,"",MIN(IF($C24&gt;0,1,'My Debts'!$B$13+1),IF($D24&gt;0,2,'My Debts'!$B$13+1),IF($E24&gt;0,3,'My Debts'!$B$13+1),IF($F24&gt;0,4,'My Debts'!$B$13+1),IF($G24&gt;0,5,'My Debts'!$B$13+1),IF($H24&gt;0,6,'My Debts'!$B$13+1),IF($I24&gt;0,7,'My Debts'!$B$13+1),IF($J24&gt;0,8,'My Debts'!$B$13+1),IF($K24&gt;0,9,'My Debts'!$B$13+1),IF($L24&gt;0,10,'My Debts'!$B$13+1)))</f>
        <v/>
      </c>
    </row>
    <row r="26" ht="18" customHeight="1" s="44">
      <c r="A26" s="42" t="n">
        <v>21</v>
      </c>
      <c r="B26" s="37">
        <f>IF($X25&gt;0,'My Debts'!$B$8,0)</f>
        <v/>
      </c>
      <c r="C26" s="37">
        <f>ROUND(MAX(0,$C25*(1+C$2)-M26),2)</f>
        <v/>
      </c>
      <c r="D26" s="37">
        <f>ROUND(MAX(0,$D25*(1+D$2)-N26),2)</f>
        <v/>
      </c>
      <c r="E26" s="37">
        <f>ROUND(MAX(0,$E25*(1+E$2)-O26),2)</f>
        <v/>
      </c>
      <c r="F26" s="37">
        <f>ROUND(MAX(0,$F25*(1+F$2)-P26),2)</f>
        <v/>
      </c>
      <c r="G26" s="37">
        <f>ROUND(MAX(0,$G25*(1+G$2)-Q26),2)</f>
        <v/>
      </c>
      <c r="H26" s="37">
        <f>ROUND(MAX(0,$H25*(1+H$2)-R26),2)</f>
        <v/>
      </c>
      <c r="I26" s="37">
        <f>ROUND(MAX(0,$I25*(1+I$2)-S26),2)</f>
        <v/>
      </c>
      <c r="J26" s="37">
        <f>ROUND(MAX(0,$J25*(1+J$2)-T26),2)</f>
        <v/>
      </c>
      <c r="K26" s="37">
        <f>ROUND(MAX(0,$K25*(1+K$2)-U26),2)</f>
        <v/>
      </c>
      <c r="L26" s="37">
        <f>ROUND(MAX(0,$L25*(1+L$2)-V26),2)</f>
        <v/>
      </c>
      <c r="M26" s="37">
        <f>IF($C25&lt;=0,0,IF($Y26=1,MIN($C25*(1+C$2),MAX(0,$B26-(IF($D25&gt;0,MIN($N$3,$D25*(1+$D$2)),0)+IF($E25&gt;0,MIN($O$3,$E25*(1+$E$2)),0)+IF($F25&gt;0,MIN($P$3,$F25*(1+$F$2)),0)+IF($G25&gt;0,MIN($Q$3,$G25*(1+$G$2)),0)+IF($H25&gt;0,MIN($R$3,$H25*(1+$H$2)),0)+IF($I25&gt;0,MIN($S$3,$I25*(1+$I$2)),0)+IF($J25&gt;0,MIN($T$3,$J25*(1+$J$2)),0)+IF($K25&gt;0,MIN($U$3,$K25*(1+$K$2)),0)+IF($L25&gt;0,MIN($V$3,$L25*(1+$L$2)),0)))),MIN($M$3,$C25*(1+C$2))))</f>
        <v/>
      </c>
      <c r="N26" s="37">
        <f>IF($D25&lt;=0,0,IF($Y26=2,MIN($D25*(1+D$2),MAX(0,$B26-(IF($C25&gt;0,MIN($M$3,$C25*(1+$C$2)),0)+IF($E25&gt;0,MIN($O$3,$E25*(1+$E$2)),0)+IF($F25&gt;0,MIN($P$3,$F25*(1+$F$2)),0)+IF($G25&gt;0,MIN($Q$3,$G25*(1+$G$2)),0)+IF($H25&gt;0,MIN($R$3,$H25*(1+$H$2)),0)+IF($I25&gt;0,MIN($S$3,$I25*(1+$I$2)),0)+IF($J25&gt;0,MIN($T$3,$J25*(1+$J$2)),0)+IF($K25&gt;0,MIN($U$3,$K25*(1+$K$2)),0)+IF($L25&gt;0,MIN($V$3,$L25*(1+$L$2)),0)))),MIN($N$3,$D25*(1+D$2))))</f>
        <v/>
      </c>
      <c r="O26" s="37">
        <f>IF($E25&lt;=0,0,IF($Y26=3,MIN($E25*(1+E$2),MAX(0,$B26-(IF($C25&gt;0,MIN($M$3,$C25*(1+$C$2)),0)+IF($D25&gt;0,MIN($N$3,$D25*(1+$D$2)),0)+IF($F25&gt;0,MIN($P$3,$F25*(1+$F$2)),0)+IF($G25&gt;0,MIN($Q$3,$G25*(1+$G$2)),0)+IF($H25&gt;0,MIN($R$3,$H25*(1+$H$2)),0)+IF($I25&gt;0,MIN($S$3,$I25*(1+$I$2)),0)+IF($J25&gt;0,MIN($T$3,$J25*(1+$J$2)),0)+IF($K25&gt;0,MIN($U$3,$K25*(1+$K$2)),0)+IF($L25&gt;0,MIN($V$3,$L25*(1+$L$2)),0)))),MIN($O$3,$E25*(1+E$2))))</f>
        <v/>
      </c>
      <c r="P26" s="37">
        <f>IF($F25&lt;=0,0,IF($Y26=4,MIN($F25*(1+F$2),MAX(0,$B26-(IF($C25&gt;0,MIN($M$3,$C25*(1+$C$2)),0)+IF($D25&gt;0,MIN($N$3,$D25*(1+$D$2)),0)+IF($E25&gt;0,MIN($O$3,$E25*(1+$E$2)),0)+IF($G25&gt;0,MIN($Q$3,$G25*(1+$G$2)),0)+IF($H25&gt;0,MIN($R$3,$H25*(1+$H$2)),0)+IF($I25&gt;0,MIN($S$3,$I25*(1+$I$2)),0)+IF($J25&gt;0,MIN($T$3,$J25*(1+$J$2)),0)+IF($K25&gt;0,MIN($U$3,$K25*(1+$K$2)),0)+IF($L25&gt;0,MIN($V$3,$L25*(1+$L$2)),0)))),MIN($P$3,$F25*(1+F$2))))</f>
        <v/>
      </c>
      <c r="Q26" s="37">
        <f>IF($G25&lt;=0,0,IF($Y26=5,MIN($G25*(1+G$2),MAX(0,$B26-(IF($C25&gt;0,MIN($M$3,$C25*(1+$C$2)),0)+IF($D25&gt;0,MIN($N$3,$D25*(1+$D$2)),0)+IF($E25&gt;0,MIN($O$3,$E25*(1+$E$2)),0)+IF($F25&gt;0,MIN($P$3,$F25*(1+$F$2)),0)+IF($H25&gt;0,MIN($R$3,$H25*(1+$H$2)),0)+IF($I25&gt;0,MIN($S$3,$I25*(1+$I$2)),0)+IF($J25&gt;0,MIN($T$3,$J25*(1+$J$2)),0)+IF($K25&gt;0,MIN($U$3,$K25*(1+$K$2)),0)+IF($L25&gt;0,MIN($V$3,$L25*(1+$L$2)),0)))),MIN($Q$3,$G25*(1+G$2))))</f>
        <v/>
      </c>
      <c r="R26" s="37">
        <f>IF($H25&lt;=0,0,IF($Y26=6,MIN($H25*(1+H$2),MAX(0,$B26-(IF($C25&gt;0,MIN($M$3,$C25*(1+$C$2)),0)+IF($D25&gt;0,MIN($N$3,$D25*(1+$D$2)),0)+IF($E25&gt;0,MIN($O$3,$E25*(1+$E$2)),0)+IF($F25&gt;0,MIN($P$3,$F25*(1+$F$2)),0)+IF($G25&gt;0,MIN($Q$3,$G25*(1+$G$2)),0)+IF($I25&gt;0,MIN($S$3,$I25*(1+$I$2)),0)+IF($J25&gt;0,MIN($T$3,$J25*(1+$J$2)),0)+IF($K25&gt;0,MIN($U$3,$K25*(1+$K$2)),0)+IF($L25&gt;0,MIN($V$3,$L25*(1+$L$2)),0)))),MIN($R$3,$H25*(1+H$2))))</f>
        <v/>
      </c>
      <c r="S26" s="37">
        <f>IF($I25&lt;=0,0,IF($Y26=7,MIN($I25*(1+I$2),MAX(0,$B26-(IF($C25&gt;0,MIN($M$3,$C25*(1+$C$2)),0)+IF($D25&gt;0,MIN($N$3,$D25*(1+$D$2)),0)+IF($E25&gt;0,MIN($O$3,$E25*(1+$E$2)),0)+IF($F25&gt;0,MIN($P$3,$F25*(1+$F$2)),0)+IF($G25&gt;0,MIN($Q$3,$G25*(1+$G$2)),0)+IF($H25&gt;0,MIN($R$3,$H25*(1+$H$2)),0)+IF($J25&gt;0,MIN($T$3,$J25*(1+$J$2)),0)+IF($K25&gt;0,MIN($U$3,$K25*(1+$K$2)),0)+IF($L25&gt;0,MIN($V$3,$L25*(1+$L$2)),0)))),MIN($S$3,$I25*(1+I$2))))</f>
        <v/>
      </c>
      <c r="T26" s="37">
        <f>IF($J25&lt;=0,0,IF($Y26=8,MIN($J25*(1+J$2),MAX(0,$B26-(IF($C25&gt;0,MIN($M$3,$C25*(1+$C$2)),0)+IF($D25&gt;0,MIN($N$3,$D25*(1+$D$2)),0)+IF($E25&gt;0,MIN($O$3,$E25*(1+$E$2)),0)+IF($F25&gt;0,MIN($P$3,$F25*(1+$F$2)),0)+IF($G25&gt;0,MIN($Q$3,$G25*(1+$G$2)),0)+IF($H25&gt;0,MIN($R$3,$H25*(1+$H$2)),0)+IF($I25&gt;0,MIN($S$3,$I25*(1+$I$2)),0)+IF($K25&gt;0,MIN($U$3,$K25*(1+$K$2)),0)+IF($L25&gt;0,MIN($V$3,$L25*(1+$L$2)),0)))),MIN($T$3,$J25*(1+J$2))))</f>
        <v/>
      </c>
      <c r="U26" s="37">
        <f>IF($K25&lt;=0,0,IF($Y26=9,MIN($K25*(1+K$2),MAX(0,$B26-(IF($C25&gt;0,MIN($M$3,$C25*(1+$C$2)),0)+IF($D25&gt;0,MIN($N$3,$D25*(1+$D$2)),0)+IF($E25&gt;0,MIN($O$3,$E25*(1+$E$2)),0)+IF($F25&gt;0,MIN($P$3,$F25*(1+$F$2)),0)+IF($G25&gt;0,MIN($Q$3,$G25*(1+$G$2)),0)+IF($H25&gt;0,MIN($R$3,$H25*(1+$H$2)),0)+IF($I25&gt;0,MIN($S$3,$I25*(1+$I$2)),0)+IF($J25&gt;0,MIN($T$3,$J25*(1+$J$2)),0)+IF($L25&gt;0,MIN($V$3,$L25*(1+$L$2)),0)))),MIN($U$3,$K25*(1+K$2))))</f>
        <v/>
      </c>
      <c r="V26" s="37">
        <f>IF($L25&lt;=0,0,IF($Y26=10,MIN($L25*(1+L$2),MAX(0,$B26-(IF($C25&gt;0,MIN($M$3,$C25*(1+$C$2)),0)+IF($D25&gt;0,MIN($N$3,$D25*(1+$D$2)),0)+IF($E25&gt;0,MIN($O$3,$E25*(1+$E$2)),0)+IF($F25&gt;0,MIN($P$3,$F25*(1+$F$2)),0)+IF($G25&gt;0,MIN($Q$3,$G25*(1+$G$2)),0)+IF($H25&gt;0,MIN($R$3,$H25*(1+$H$2)),0)+IF($I25&gt;0,MIN($S$3,$I25*(1+$I$2)),0)+IF($J25&gt;0,MIN($T$3,$J25*(1+$J$2)),0)+IF($K25&gt;0,MIN($U$3,$K25*(1+$K$2)),0)))),MIN($V$3,$L25*(1+L$2))))</f>
        <v/>
      </c>
      <c r="W26" s="37">
        <f>ROUND(SUMPRODUCT($C25:$L25,$C$2:$L$2),2)</f>
        <v/>
      </c>
      <c r="X26" s="37">
        <f>SUM($C26:$L26)</f>
        <v/>
      </c>
      <c r="Y26" s="43">
        <f>IF($X25=0,"",MIN(IF($C25&gt;0,1,'My Debts'!$B$13+1),IF($D25&gt;0,2,'My Debts'!$B$13+1),IF($E25&gt;0,3,'My Debts'!$B$13+1),IF($F25&gt;0,4,'My Debts'!$B$13+1),IF($G25&gt;0,5,'My Debts'!$B$13+1),IF($H25&gt;0,6,'My Debts'!$B$13+1),IF($I25&gt;0,7,'My Debts'!$B$13+1),IF($J25&gt;0,8,'My Debts'!$B$13+1),IF($K25&gt;0,9,'My Debts'!$B$13+1),IF($L25&gt;0,10,'My Debts'!$B$13+1)))</f>
        <v/>
      </c>
    </row>
    <row r="27" ht="18" customHeight="1" s="44">
      <c r="A27" s="42" t="n">
        <v>22</v>
      </c>
      <c r="B27" s="37">
        <f>IF($X26&gt;0,'My Debts'!$B$8,0)</f>
        <v/>
      </c>
      <c r="C27" s="37">
        <f>ROUND(MAX(0,$C26*(1+C$2)-M27),2)</f>
        <v/>
      </c>
      <c r="D27" s="37">
        <f>ROUND(MAX(0,$D26*(1+D$2)-N27),2)</f>
        <v/>
      </c>
      <c r="E27" s="37">
        <f>ROUND(MAX(0,$E26*(1+E$2)-O27),2)</f>
        <v/>
      </c>
      <c r="F27" s="37">
        <f>ROUND(MAX(0,$F26*(1+F$2)-P27),2)</f>
        <v/>
      </c>
      <c r="G27" s="37">
        <f>ROUND(MAX(0,$G26*(1+G$2)-Q27),2)</f>
        <v/>
      </c>
      <c r="H27" s="37">
        <f>ROUND(MAX(0,$H26*(1+H$2)-R27),2)</f>
        <v/>
      </c>
      <c r="I27" s="37">
        <f>ROUND(MAX(0,$I26*(1+I$2)-S27),2)</f>
        <v/>
      </c>
      <c r="J27" s="37">
        <f>ROUND(MAX(0,$J26*(1+J$2)-T27),2)</f>
        <v/>
      </c>
      <c r="K27" s="37">
        <f>ROUND(MAX(0,$K26*(1+K$2)-U27),2)</f>
        <v/>
      </c>
      <c r="L27" s="37">
        <f>ROUND(MAX(0,$L26*(1+L$2)-V27),2)</f>
        <v/>
      </c>
      <c r="M27" s="37">
        <f>IF($C26&lt;=0,0,IF($Y27=1,MIN($C26*(1+C$2),MAX(0,$B27-(IF($D26&gt;0,MIN($N$3,$D26*(1+$D$2)),0)+IF($E26&gt;0,MIN($O$3,$E26*(1+$E$2)),0)+IF($F26&gt;0,MIN($P$3,$F26*(1+$F$2)),0)+IF($G26&gt;0,MIN($Q$3,$G26*(1+$G$2)),0)+IF($H26&gt;0,MIN($R$3,$H26*(1+$H$2)),0)+IF($I26&gt;0,MIN($S$3,$I26*(1+$I$2)),0)+IF($J26&gt;0,MIN($T$3,$J26*(1+$J$2)),0)+IF($K26&gt;0,MIN($U$3,$K26*(1+$K$2)),0)+IF($L26&gt;0,MIN($V$3,$L26*(1+$L$2)),0)))),MIN($M$3,$C26*(1+C$2))))</f>
        <v/>
      </c>
      <c r="N27" s="37">
        <f>IF($D26&lt;=0,0,IF($Y27=2,MIN($D26*(1+D$2),MAX(0,$B27-(IF($C26&gt;0,MIN($M$3,$C26*(1+$C$2)),0)+IF($E26&gt;0,MIN($O$3,$E26*(1+$E$2)),0)+IF($F26&gt;0,MIN($P$3,$F26*(1+$F$2)),0)+IF($G26&gt;0,MIN($Q$3,$G26*(1+$G$2)),0)+IF($H26&gt;0,MIN($R$3,$H26*(1+$H$2)),0)+IF($I26&gt;0,MIN($S$3,$I26*(1+$I$2)),0)+IF($J26&gt;0,MIN($T$3,$J26*(1+$J$2)),0)+IF($K26&gt;0,MIN($U$3,$K26*(1+$K$2)),0)+IF($L26&gt;0,MIN($V$3,$L26*(1+$L$2)),0)))),MIN($N$3,$D26*(1+D$2))))</f>
        <v/>
      </c>
      <c r="O27" s="37">
        <f>IF($E26&lt;=0,0,IF($Y27=3,MIN($E26*(1+E$2),MAX(0,$B27-(IF($C26&gt;0,MIN($M$3,$C26*(1+$C$2)),0)+IF($D26&gt;0,MIN($N$3,$D26*(1+$D$2)),0)+IF($F26&gt;0,MIN($P$3,$F26*(1+$F$2)),0)+IF($G26&gt;0,MIN($Q$3,$G26*(1+$G$2)),0)+IF($H26&gt;0,MIN($R$3,$H26*(1+$H$2)),0)+IF($I26&gt;0,MIN($S$3,$I26*(1+$I$2)),0)+IF($J26&gt;0,MIN($T$3,$J26*(1+$J$2)),0)+IF($K26&gt;0,MIN($U$3,$K26*(1+$K$2)),0)+IF($L26&gt;0,MIN($V$3,$L26*(1+$L$2)),0)))),MIN($O$3,$E26*(1+E$2))))</f>
        <v/>
      </c>
      <c r="P27" s="37">
        <f>IF($F26&lt;=0,0,IF($Y27=4,MIN($F26*(1+F$2),MAX(0,$B27-(IF($C26&gt;0,MIN($M$3,$C26*(1+$C$2)),0)+IF($D26&gt;0,MIN($N$3,$D26*(1+$D$2)),0)+IF($E26&gt;0,MIN($O$3,$E26*(1+$E$2)),0)+IF($G26&gt;0,MIN($Q$3,$G26*(1+$G$2)),0)+IF($H26&gt;0,MIN($R$3,$H26*(1+$H$2)),0)+IF($I26&gt;0,MIN($S$3,$I26*(1+$I$2)),0)+IF($J26&gt;0,MIN($T$3,$J26*(1+$J$2)),0)+IF($K26&gt;0,MIN($U$3,$K26*(1+$K$2)),0)+IF($L26&gt;0,MIN($V$3,$L26*(1+$L$2)),0)))),MIN($P$3,$F26*(1+F$2))))</f>
        <v/>
      </c>
      <c r="Q27" s="37">
        <f>IF($G26&lt;=0,0,IF($Y27=5,MIN($G26*(1+G$2),MAX(0,$B27-(IF($C26&gt;0,MIN($M$3,$C26*(1+$C$2)),0)+IF($D26&gt;0,MIN($N$3,$D26*(1+$D$2)),0)+IF($E26&gt;0,MIN($O$3,$E26*(1+$E$2)),0)+IF($F26&gt;0,MIN($P$3,$F26*(1+$F$2)),0)+IF($H26&gt;0,MIN($R$3,$H26*(1+$H$2)),0)+IF($I26&gt;0,MIN($S$3,$I26*(1+$I$2)),0)+IF($J26&gt;0,MIN($T$3,$J26*(1+$J$2)),0)+IF($K26&gt;0,MIN($U$3,$K26*(1+$K$2)),0)+IF($L26&gt;0,MIN($V$3,$L26*(1+$L$2)),0)))),MIN($Q$3,$G26*(1+G$2))))</f>
        <v/>
      </c>
      <c r="R27" s="37">
        <f>IF($H26&lt;=0,0,IF($Y27=6,MIN($H26*(1+H$2),MAX(0,$B27-(IF($C26&gt;0,MIN($M$3,$C26*(1+$C$2)),0)+IF($D26&gt;0,MIN($N$3,$D26*(1+$D$2)),0)+IF($E26&gt;0,MIN($O$3,$E26*(1+$E$2)),0)+IF($F26&gt;0,MIN($P$3,$F26*(1+$F$2)),0)+IF($G26&gt;0,MIN($Q$3,$G26*(1+$G$2)),0)+IF($I26&gt;0,MIN($S$3,$I26*(1+$I$2)),0)+IF($J26&gt;0,MIN($T$3,$J26*(1+$J$2)),0)+IF($K26&gt;0,MIN($U$3,$K26*(1+$K$2)),0)+IF($L26&gt;0,MIN($V$3,$L26*(1+$L$2)),0)))),MIN($R$3,$H26*(1+H$2))))</f>
        <v/>
      </c>
      <c r="S27" s="37">
        <f>IF($I26&lt;=0,0,IF($Y27=7,MIN($I26*(1+I$2),MAX(0,$B27-(IF($C26&gt;0,MIN($M$3,$C26*(1+$C$2)),0)+IF($D26&gt;0,MIN($N$3,$D26*(1+$D$2)),0)+IF($E26&gt;0,MIN($O$3,$E26*(1+$E$2)),0)+IF($F26&gt;0,MIN($P$3,$F26*(1+$F$2)),0)+IF($G26&gt;0,MIN($Q$3,$G26*(1+$G$2)),0)+IF($H26&gt;0,MIN($R$3,$H26*(1+$H$2)),0)+IF($J26&gt;0,MIN($T$3,$J26*(1+$J$2)),0)+IF($K26&gt;0,MIN($U$3,$K26*(1+$K$2)),0)+IF($L26&gt;0,MIN($V$3,$L26*(1+$L$2)),0)))),MIN($S$3,$I26*(1+I$2))))</f>
        <v/>
      </c>
      <c r="T27" s="37">
        <f>IF($J26&lt;=0,0,IF($Y27=8,MIN($J26*(1+J$2),MAX(0,$B27-(IF($C26&gt;0,MIN($M$3,$C26*(1+$C$2)),0)+IF($D26&gt;0,MIN($N$3,$D26*(1+$D$2)),0)+IF($E26&gt;0,MIN($O$3,$E26*(1+$E$2)),0)+IF($F26&gt;0,MIN($P$3,$F26*(1+$F$2)),0)+IF($G26&gt;0,MIN($Q$3,$G26*(1+$G$2)),0)+IF($H26&gt;0,MIN($R$3,$H26*(1+$H$2)),0)+IF($I26&gt;0,MIN($S$3,$I26*(1+$I$2)),0)+IF($K26&gt;0,MIN($U$3,$K26*(1+$K$2)),0)+IF($L26&gt;0,MIN($V$3,$L26*(1+$L$2)),0)))),MIN($T$3,$J26*(1+J$2))))</f>
        <v/>
      </c>
      <c r="U27" s="37">
        <f>IF($K26&lt;=0,0,IF($Y27=9,MIN($K26*(1+K$2),MAX(0,$B27-(IF($C26&gt;0,MIN($M$3,$C26*(1+$C$2)),0)+IF($D26&gt;0,MIN($N$3,$D26*(1+$D$2)),0)+IF($E26&gt;0,MIN($O$3,$E26*(1+$E$2)),0)+IF($F26&gt;0,MIN($P$3,$F26*(1+$F$2)),0)+IF($G26&gt;0,MIN($Q$3,$G26*(1+$G$2)),0)+IF($H26&gt;0,MIN($R$3,$H26*(1+$H$2)),0)+IF($I26&gt;0,MIN($S$3,$I26*(1+$I$2)),0)+IF($J26&gt;0,MIN($T$3,$J26*(1+$J$2)),0)+IF($L26&gt;0,MIN($V$3,$L26*(1+$L$2)),0)))),MIN($U$3,$K26*(1+K$2))))</f>
        <v/>
      </c>
      <c r="V27" s="37">
        <f>IF($L26&lt;=0,0,IF($Y27=10,MIN($L26*(1+L$2),MAX(0,$B27-(IF($C26&gt;0,MIN($M$3,$C26*(1+$C$2)),0)+IF($D26&gt;0,MIN($N$3,$D26*(1+$D$2)),0)+IF($E26&gt;0,MIN($O$3,$E26*(1+$E$2)),0)+IF($F26&gt;0,MIN($P$3,$F26*(1+$F$2)),0)+IF($G26&gt;0,MIN($Q$3,$G26*(1+$G$2)),0)+IF($H26&gt;0,MIN($R$3,$H26*(1+$H$2)),0)+IF($I26&gt;0,MIN($S$3,$I26*(1+$I$2)),0)+IF($J26&gt;0,MIN($T$3,$J26*(1+$J$2)),0)+IF($K26&gt;0,MIN($U$3,$K26*(1+$K$2)),0)))),MIN($V$3,$L26*(1+L$2))))</f>
        <v/>
      </c>
      <c r="W27" s="37">
        <f>ROUND(SUMPRODUCT($C26:$L26,$C$2:$L$2),2)</f>
        <v/>
      </c>
      <c r="X27" s="37">
        <f>SUM($C27:$L27)</f>
        <v/>
      </c>
      <c r="Y27" s="43">
        <f>IF($X26=0,"",MIN(IF($C26&gt;0,1,'My Debts'!$B$13+1),IF($D26&gt;0,2,'My Debts'!$B$13+1),IF($E26&gt;0,3,'My Debts'!$B$13+1),IF($F26&gt;0,4,'My Debts'!$B$13+1),IF($G26&gt;0,5,'My Debts'!$B$13+1),IF($H26&gt;0,6,'My Debts'!$B$13+1),IF($I26&gt;0,7,'My Debts'!$B$13+1),IF($J26&gt;0,8,'My Debts'!$B$13+1),IF($K26&gt;0,9,'My Debts'!$B$13+1),IF($L26&gt;0,10,'My Debts'!$B$13+1)))</f>
        <v/>
      </c>
    </row>
    <row r="28" ht="18" customHeight="1" s="44">
      <c r="A28" s="42" t="n">
        <v>23</v>
      </c>
      <c r="B28" s="37">
        <f>IF($X27&gt;0,'My Debts'!$B$8,0)</f>
        <v/>
      </c>
      <c r="C28" s="37">
        <f>ROUND(MAX(0,$C27*(1+C$2)-M28),2)</f>
        <v/>
      </c>
      <c r="D28" s="37">
        <f>ROUND(MAX(0,$D27*(1+D$2)-N28),2)</f>
        <v/>
      </c>
      <c r="E28" s="37">
        <f>ROUND(MAX(0,$E27*(1+E$2)-O28),2)</f>
        <v/>
      </c>
      <c r="F28" s="37">
        <f>ROUND(MAX(0,$F27*(1+F$2)-P28),2)</f>
        <v/>
      </c>
      <c r="G28" s="37">
        <f>ROUND(MAX(0,$G27*(1+G$2)-Q28),2)</f>
        <v/>
      </c>
      <c r="H28" s="37">
        <f>ROUND(MAX(0,$H27*(1+H$2)-R28),2)</f>
        <v/>
      </c>
      <c r="I28" s="37">
        <f>ROUND(MAX(0,$I27*(1+I$2)-S28),2)</f>
        <v/>
      </c>
      <c r="J28" s="37">
        <f>ROUND(MAX(0,$J27*(1+J$2)-T28),2)</f>
        <v/>
      </c>
      <c r="K28" s="37">
        <f>ROUND(MAX(0,$K27*(1+K$2)-U28),2)</f>
        <v/>
      </c>
      <c r="L28" s="37">
        <f>ROUND(MAX(0,$L27*(1+L$2)-V28),2)</f>
        <v/>
      </c>
      <c r="M28" s="37">
        <f>IF($C27&lt;=0,0,IF($Y28=1,MIN($C27*(1+C$2),MAX(0,$B28-(IF($D27&gt;0,MIN($N$3,$D27*(1+$D$2)),0)+IF($E27&gt;0,MIN($O$3,$E27*(1+$E$2)),0)+IF($F27&gt;0,MIN($P$3,$F27*(1+$F$2)),0)+IF($G27&gt;0,MIN($Q$3,$G27*(1+$G$2)),0)+IF($H27&gt;0,MIN($R$3,$H27*(1+$H$2)),0)+IF($I27&gt;0,MIN($S$3,$I27*(1+$I$2)),0)+IF($J27&gt;0,MIN($T$3,$J27*(1+$J$2)),0)+IF($K27&gt;0,MIN($U$3,$K27*(1+$K$2)),0)+IF($L27&gt;0,MIN($V$3,$L27*(1+$L$2)),0)))),MIN($M$3,$C27*(1+C$2))))</f>
        <v/>
      </c>
      <c r="N28" s="37">
        <f>IF($D27&lt;=0,0,IF($Y28=2,MIN($D27*(1+D$2),MAX(0,$B28-(IF($C27&gt;0,MIN($M$3,$C27*(1+$C$2)),0)+IF($E27&gt;0,MIN($O$3,$E27*(1+$E$2)),0)+IF($F27&gt;0,MIN($P$3,$F27*(1+$F$2)),0)+IF($G27&gt;0,MIN($Q$3,$G27*(1+$G$2)),0)+IF($H27&gt;0,MIN($R$3,$H27*(1+$H$2)),0)+IF($I27&gt;0,MIN($S$3,$I27*(1+$I$2)),0)+IF($J27&gt;0,MIN($T$3,$J27*(1+$J$2)),0)+IF($K27&gt;0,MIN($U$3,$K27*(1+$K$2)),0)+IF($L27&gt;0,MIN($V$3,$L27*(1+$L$2)),0)))),MIN($N$3,$D27*(1+D$2))))</f>
        <v/>
      </c>
      <c r="O28" s="37">
        <f>IF($E27&lt;=0,0,IF($Y28=3,MIN($E27*(1+E$2),MAX(0,$B28-(IF($C27&gt;0,MIN($M$3,$C27*(1+$C$2)),0)+IF($D27&gt;0,MIN($N$3,$D27*(1+$D$2)),0)+IF($F27&gt;0,MIN($P$3,$F27*(1+$F$2)),0)+IF($G27&gt;0,MIN($Q$3,$G27*(1+$G$2)),0)+IF($H27&gt;0,MIN($R$3,$H27*(1+$H$2)),0)+IF($I27&gt;0,MIN($S$3,$I27*(1+$I$2)),0)+IF($J27&gt;0,MIN($T$3,$J27*(1+$J$2)),0)+IF($K27&gt;0,MIN($U$3,$K27*(1+$K$2)),0)+IF($L27&gt;0,MIN($V$3,$L27*(1+$L$2)),0)))),MIN($O$3,$E27*(1+E$2))))</f>
        <v/>
      </c>
      <c r="P28" s="37">
        <f>IF($F27&lt;=0,0,IF($Y28=4,MIN($F27*(1+F$2),MAX(0,$B28-(IF($C27&gt;0,MIN($M$3,$C27*(1+$C$2)),0)+IF($D27&gt;0,MIN($N$3,$D27*(1+$D$2)),0)+IF($E27&gt;0,MIN($O$3,$E27*(1+$E$2)),0)+IF($G27&gt;0,MIN($Q$3,$G27*(1+$G$2)),0)+IF($H27&gt;0,MIN($R$3,$H27*(1+$H$2)),0)+IF($I27&gt;0,MIN($S$3,$I27*(1+$I$2)),0)+IF($J27&gt;0,MIN($T$3,$J27*(1+$J$2)),0)+IF($K27&gt;0,MIN($U$3,$K27*(1+$K$2)),0)+IF($L27&gt;0,MIN($V$3,$L27*(1+$L$2)),0)))),MIN($P$3,$F27*(1+F$2))))</f>
        <v/>
      </c>
      <c r="Q28" s="37">
        <f>IF($G27&lt;=0,0,IF($Y28=5,MIN($G27*(1+G$2),MAX(0,$B28-(IF($C27&gt;0,MIN($M$3,$C27*(1+$C$2)),0)+IF($D27&gt;0,MIN($N$3,$D27*(1+$D$2)),0)+IF($E27&gt;0,MIN($O$3,$E27*(1+$E$2)),0)+IF($F27&gt;0,MIN($P$3,$F27*(1+$F$2)),0)+IF($H27&gt;0,MIN($R$3,$H27*(1+$H$2)),0)+IF($I27&gt;0,MIN($S$3,$I27*(1+$I$2)),0)+IF($J27&gt;0,MIN($T$3,$J27*(1+$J$2)),0)+IF($K27&gt;0,MIN($U$3,$K27*(1+$K$2)),0)+IF($L27&gt;0,MIN($V$3,$L27*(1+$L$2)),0)))),MIN($Q$3,$G27*(1+G$2))))</f>
        <v/>
      </c>
      <c r="R28" s="37">
        <f>IF($H27&lt;=0,0,IF($Y28=6,MIN($H27*(1+H$2),MAX(0,$B28-(IF($C27&gt;0,MIN($M$3,$C27*(1+$C$2)),0)+IF($D27&gt;0,MIN($N$3,$D27*(1+$D$2)),0)+IF($E27&gt;0,MIN($O$3,$E27*(1+$E$2)),0)+IF($F27&gt;0,MIN($P$3,$F27*(1+$F$2)),0)+IF($G27&gt;0,MIN($Q$3,$G27*(1+$G$2)),0)+IF($I27&gt;0,MIN($S$3,$I27*(1+$I$2)),0)+IF($J27&gt;0,MIN($T$3,$J27*(1+$J$2)),0)+IF($K27&gt;0,MIN($U$3,$K27*(1+$K$2)),0)+IF($L27&gt;0,MIN($V$3,$L27*(1+$L$2)),0)))),MIN($R$3,$H27*(1+H$2))))</f>
        <v/>
      </c>
      <c r="S28" s="37">
        <f>IF($I27&lt;=0,0,IF($Y28=7,MIN($I27*(1+I$2),MAX(0,$B28-(IF($C27&gt;0,MIN($M$3,$C27*(1+$C$2)),0)+IF($D27&gt;0,MIN($N$3,$D27*(1+$D$2)),0)+IF($E27&gt;0,MIN($O$3,$E27*(1+$E$2)),0)+IF($F27&gt;0,MIN($P$3,$F27*(1+$F$2)),0)+IF($G27&gt;0,MIN($Q$3,$G27*(1+$G$2)),0)+IF($H27&gt;0,MIN($R$3,$H27*(1+$H$2)),0)+IF($J27&gt;0,MIN($T$3,$J27*(1+$J$2)),0)+IF($K27&gt;0,MIN($U$3,$K27*(1+$K$2)),0)+IF($L27&gt;0,MIN($V$3,$L27*(1+$L$2)),0)))),MIN($S$3,$I27*(1+I$2))))</f>
        <v/>
      </c>
      <c r="T28" s="37">
        <f>IF($J27&lt;=0,0,IF($Y28=8,MIN($J27*(1+J$2),MAX(0,$B28-(IF($C27&gt;0,MIN($M$3,$C27*(1+$C$2)),0)+IF($D27&gt;0,MIN($N$3,$D27*(1+$D$2)),0)+IF($E27&gt;0,MIN($O$3,$E27*(1+$E$2)),0)+IF($F27&gt;0,MIN($P$3,$F27*(1+$F$2)),0)+IF($G27&gt;0,MIN($Q$3,$G27*(1+$G$2)),0)+IF($H27&gt;0,MIN($R$3,$H27*(1+$H$2)),0)+IF($I27&gt;0,MIN($S$3,$I27*(1+$I$2)),0)+IF($K27&gt;0,MIN($U$3,$K27*(1+$K$2)),0)+IF($L27&gt;0,MIN($V$3,$L27*(1+$L$2)),0)))),MIN($T$3,$J27*(1+J$2))))</f>
        <v/>
      </c>
      <c r="U28" s="37">
        <f>IF($K27&lt;=0,0,IF($Y28=9,MIN($K27*(1+K$2),MAX(0,$B28-(IF($C27&gt;0,MIN($M$3,$C27*(1+$C$2)),0)+IF($D27&gt;0,MIN($N$3,$D27*(1+$D$2)),0)+IF($E27&gt;0,MIN($O$3,$E27*(1+$E$2)),0)+IF($F27&gt;0,MIN($P$3,$F27*(1+$F$2)),0)+IF($G27&gt;0,MIN($Q$3,$G27*(1+$G$2)),0)+IF($H27&gt;0,MIN($R$3,$H27*(1+$H$2)),0)+IF($I27&gt;0,MIN($S$3,$I27*(1+$I$2)),0)+IF($J27&gt;0,MIN($T$3,$J27*(1+$J$2)),0)+IF($L27&gt;0,MIN($V$3,$L27*(1+$L$2)),0)))),MIN($U$3,$K27*(1+K$2))))</f>
        <v/>
      </c>
      <c r="V28" s="37">
        <f>IF($L27&lt;=0,0,IF($Y28=10,MIN($L27*(1+L$2),MAX(0,$B28-(IF($C27&gt;0,MIN($M$3,$C27*(1+$C$2)),0)+IF($D27&gt;0,MIN($N$3,$D27*(1+$D$2)),0)+IF($E27&gt;0,MIN($O$3,$E27*(1+$E$2)),0)+IF($F27&gt;0,MIN($P$3,$F27*(1+$F$2)),0)+IF($G27&gt;0,MIN($Q$3,$G27*(1+$G$2)),0)+IF($H27&gt;0,MIN($R$3,$H27*(1+$H$2)),0)+IF($I27&gt;0,MIN($S$3,$I27*(1+$I$2)),0)+IF($J27&gt;0,MIN($T$3,$J27*(1+$J$2)),0)+IF($K27&gt;0,MIN($U$3,$K27*(1+$K$2)),0)))),MIN($V$3,$L27*(1+L$2))))</f>
        <v/>
      </c>
      <c r="W28" s="37">
        <f>ROUND(SUMPRODUCT($C27:$L27,$C$2:$L$2),2)</f>
        <v/>
      </c>
      <c r="X28" s="37">
        <f>SUM($C28:$L28)</f>
        <v/>
      </c>
      <c r="Y28" s="43">
        <f>IF($X27=0,"",MIN(IF($C27&gt;0,1,'My Debts'!$B$13+1),IF($D27&gt;0,2,'My Debts'!$B$13+1),IF($E27&gt;0,3,'My Debts'!$B$13+1),IF($F27&gt;0,4,'My Debts'!$B$13+1),IF($G27&gt;0,5,'My Debts'!$B$13+1),IF($H27&gt;0,6,'My Debts'!$B$13+1),IF($I27&gt;0,7,'My Debts'!$B$13+1),IF($J27&gt;0,8,'My Debts'!$B$13+1),IF($K27&gt;0,9,'My Debts'!$B$13+1),IF($L27&gt;0,10,'My Debts'!$B$13+1)))</f>
        <v/>
      </c>
    </row>
    <row r="29" ht="18" customHeight="1" s="44">
      <c r="A29" s="42" t="n">
        <v>24</v>
      </c>
      <c r="B29" s="37">
        <f>IF($X28&gt;0,'My Debts'!$B$8,0)</f>
        <v/>
      </c>
      <c r="C29" s="37">
        <f>ROUND(MAX(0,$C28*(1+C$2)-M29),2)</f>
        <v/>
      </c>
      <c r="D29" s="37">
        <f>ROUND(MAX(0,$D28*(1+D$2)-N29),2)</f>
        <v/>
      </c>
      <c r="E29" s="37">
        <f>ROUND(MAX(0,$E28*(1+E$2)-O29),2)</f>
        <v/>
      </c>
      <c r="F29" s="37">
        <f>ROUND(MAX(0,$F28*(1+F$2)-P29),2)</f>
        <v/>
      </c>
      <c r="G29" s="37">
        <f>ROUND(MAX(0,$G28*(1+G$2)-Q29),2)</f>
        <v/>
      </c>
      <c r="H29" s="37">
        <f>ROUND(MAX(0,$H28*(1+H$2)-R29),2)</f>
        <v/>
      </c>
      <c r="I29" s="37">
        <f>ROUND(MAX(0,$I28*(1+I$2)-S29),2)</f>
        <v/>
      </c>
      <c r="J29" s="37">
        <f>ROUND(MAX(0,$J28*(1+J$2)-T29),2)</f>
        <v/>
      </c>
      <c r="K29" s="37">
        <f>ROUND(MAX(0,$K28*(1+K$2)-U29),2)</f>
        <v/>
      </c>
      <c r="L29" s="37">
        <f>ROUND(MAX(0,$L28*(1+L$2)-V29),2)</f>
        <v/>
      </c>
      <c r="M29" s="37">
        <f>IF($C28&lt;=0,0,IF($Y29=1,MIN($C28*(1+C$2),MAX(0,$B29-(IF($D28&gt;0,MIN($N$3,$D28*(1+$D$2)),0)+IF($E28&gt;0,MIN($O$3,$E28*(1+$E$2)),0)+IF($F28&gt;0,MIN($P$3,$F28*(1+$F$2)),0)+IF($G28&gt;0,MIN($Q$3,$G28*(1+$G$2)),0)+IF($H28&gt;0,MIN($R$3,$H28*(1+$H$2)),0)+IF($I28&gt;0,MIN($S$3,$I28*(1+$I$2)),0)+IF($J28&gt;0,MIN($T$3,$J28*(1+$J$2)),0)+IF($K28&gt;0,MIN($U$3,$K28*(1+$K$2)),0)+IF($L28&gt;0,MIN($V$3,$L28*(1+$L$2)),0)))),MIN($M$3,$C28*(1+C$2))))</f>
        <v/>
      </c>
      <c r="N29" s="37">
        <f>IF($D28&lt;=0,0,IF($Y29=2,MIN($D28*(1+D$2),MAX(0,$B29-(IF($C28&gt;0,MIN($M$3,$C28*(1+$C$2)),0)+IF($E28&gt;0,MIN($O$3,$E28*(1+$E$2)),0)+IF($F28&gt;0,MIN($P$3,$F28*(1+$F$2)),0)+IF($G28&gt;0,MIN($Q$3,$G28*(1+$G$2)),0)+IF($H28&gt;0,MIN($R$3,$H28*(1+$H$2)),0)+IF($I28&gt;0,MIN($S$3,$I28*(1+$I$2)),0)+IF($J28&gt;0,MIN($T$3,$J28*(1+$J$2)),0)+IF($K28&gt;0,MIN($U$3,$K28*(1+$K$2)),0)+IF($L28&gt;0,MIN($V$3,$L28*(1+$L$2)),0)))),MIN($N$3,$D28*(1+D$2))))</f>
        <v/>
      </c>
      <c r="O29" s="37">
        <f>IF($E28&lt;=0,0,IF($Y29=3,MIN($E28*(1+E$2),MAX(0,$B29-(IF($C28&gt;0,MIN($M$3,$C28*(1+$C$2)),0)+IF($D28&gt;0,MIN($N$3,$D28*(1+$D$2)),0)+IF($F28&gt;0,MIN($P$3,$F28*(1+$F$2)),0)+IF($G28&gt;0,MIN($Q$3,$G28*(1+$G$2)),0)+IF($H28&gt;0,MIN($R$3,$H28*(1+$H$2)),0)+IF($I28&gt;0,MIN($S$3,$I28*(1+$I$2)),0)+IF($J28&gt;0,MIN($T$3,$J28*(1+$J$2)),0)+IF($K28&gt;0,MIN($U$3,$K28*(1+$K$2)),0)+IF($L28&gt;0,MIN($V$3,$L28*(1+$L$2)),0)))),MIN($O$3,$E28*(1+E$2))))</f>
        <v/>
      </c>
      <c r="P29" s="37">
        <f>IF($F28&lt;=0,0,IF($Y29=4,MIN($F28*(1+F$2),MAX(0,$B29-(IF($C28&gt;0,MIN($M$3,$C28*(1+$C$2)),0)+IF($D28&gt;0,MIN($N$3,$D28*(1+$D$2)),0)+IF($E28&gt;0,MIN($O$3,$E28*(1+$E$2)),0)+IF($G28&gt;0,MIN($Q$3,$G28*(1+$G$2)),0)+IF($H28&gt;0,MIN($R$3,$H28*(1+$H$2)),0)+IF($I28&gt;0,MIN($S$3,$I28*(1+$I$2)),0)+IF($J28&gt;0,MIN($T$3,$J28*(1+$J$2)),0)+IF($K28&gt;0,MIN($U$3,$K28*(1+$K$2)),0)+IF($L28&gt;0,MIN($V$3,$L28*(1+$L$2)),0)))),MIN($P$3,$F28*(1+F$2))))</f>
        <v/>
      </c>
      <c r="Q29" s="37">
        <f>IF($G28&lt;=0,0,IF($Y29=5,MIN($G28*(1+G$2),MAX(0,$B29-(IF($C28&gt;0,MIN($M$3,$C28*(1+$C$2)),0)+IF($D28&gt;0,MIN($N$3,$D28*(1+$D$2)),0)+IF($E28&gt;0,MIN($O$3,$E28*(1+$E$2)),0)+IF($F28&gt;0,MIN($P$3,$F28*(1+$F$2)),0)+IF($H28&gt;0,MIN($R$3,$H28*(1+$H$2)),0)+IF($I28&gt;0,MIN($S$3,$I28*(1+$I$2)),0)+IF($J28&gt;0,MIN($T$3,$J28*(1+$J$2)),0)+IF($K28&gt;0,MIN($U$3,$K28*(1+$K$2)),0)+IF($L28&gt;0,MIN($V$3,$L28*(1+$L$2)),0)))),MIN($Q$3,$G28*(1+G$2))))</f>
        <v/>
      </c>
      <c r="R29" s="37">
        <f>IF($H28&lt;=0,0,IF($Y29=6,MIN($H28*(1+H$2),MAX(0,$B29-(IF($C28&gt;0,MIN($M$3,$C28*(1+$C$2)),0)+IF($D28&gt;0,MIN($N$3,$D28*(1+$D$2)),0)+IF($E28&gt;0,MIN($O$3,$E28*(1+$E$2)),0)+IF($F28&gt;0,MIN($P$3,$F28*(1+$F$2)),0)+IF($G28&gt;0,MIN($Q$3,$G28*(1+$G$2)),0)+IF($I28&gt;0,MIN($S$3,$I28*(1+$I$2)),0)+IF($J28&gt;0,MIN($T$3,$J28*(1+$J$2)),0)+IF($K28&gt;0,MIN($U$3,$K28*(1+$K$2)),0)+IF($L28&gt;0,MIN($V$3,$L28*(1+$L$2)),0)))),MIN($R$3,$H28*(1+H$2))))</f>
        <v/>
      </c>
      <c r="S29" s="37">
        <f>IF($I28&lt;=0,0,IF($Y29=7,MIN($I28*(1+I$2),MAX(0,$B29-(IF($C28&gt;0,MIN($M$3,$C28*(1+$C$2)),0)+IF($D28&gt;0,MIN($N$3,$D28*(1+$D$2)),0)+IF($E28&gt;0,MIN($O$3,$E28*(1+$E$2)),0)+IF($F28&gt;0,MIN($P$3,$F28*(1+$F$2)),0)+IF($G28&gt;0,MIN($Q$3,$G28*(1+$G$2)),0)+IF($H28&gt;0,MIN($R$3,$H28*(1+$H$2)),0)+IF($J28&gt;0,MIN($T$3,$J28*(1+$J$2)),0)+IF($K28&gt;0,MIN($U$3,$K28*(1+$K$2)),0)+IF($L28&gt;0,MIN($V$3,$L28*(1+$L$2)),0)))),MIN($S$3,$I28*(1+I$2))))</f>
        <v/>
      </c>
      <c r="T29" s="37">
        <f>IF($J28&lt;=0,0,IF($Y29=8,MIN($J28*(1+J$2),MAX(0,$B29-(IF($C28&gt;0,MIN($M$3,$C28*(1+$C$2)),0)+IF($D28&gt;0,MIN($N$3,$D28*(1+$D$2)),0)+IF($E28&gt;0,MIN($O$3,$E28*(1+$E$2)),0)+IF($F28&gt;0,MIN($P$3,$F28*(1+$F$2)),0)+IF($G28&gt;0,MIN($Q$3,$G28*(1+$G$2)),0)+IF($H28&gt;0,MIN($R$3,$H28*(1+$H$2)),0)+IF($I28&gt;0,MIN($S$3,$I28*(1+$I$2)),0)+IF($K28&gt;0,MIN($U$3,$K28*(1+$K$2)),0)+IF($L28&gt;0,MIN($V$3,$L28*(1+$L$2)),0)))),MIN($T$3,$J28*(1+J$2))))</f>
        <v/>
      </c>
      <c r="U29" s="37">
        <f>IF($K28&lt;=0,0,IF($Y29=9,MIN($K28*(1+K$2),MAX(0,$B29-(IF($C28&gt;0,MIN($M$3,$C28*(1+$C$2)),0)+IF($D28&gt;0,MIN($N$3,$D28*(1+$D$2)),0)+IF($E28&gt;0,MIN($O$3,$E28*(1+$E$2)),0)+IF($F28&gt;0,MIN($P$3,$F28*(1+$F$2)),0)+IF($G28&gt;0,MIN($Q$3,$G28*(1+$G$2)),0)+IF($H28&gt;0,MIN($R$3,$H28*(1+$H$2)),0)+IF($I28&gt;0,MIN($S$3,$I28*(1+$I$2)),0)+IF($J28&gt;0,MIN($T$3,$J28*(1+$J$2)),0)+IF($L28&gt;0,MIN($V$3,$L28*(1+$L$2)),0)))),MIN($U$3,$K28*(1+K$2))))</f>
        <v/>
      </c>
      <c r="V29" s="37">
        <f>IF($L28&lt;=0,0,IF($Y29=10,MIN($L28*(1+L$2),MAX(0,$B29-(IF($C28&gt;0,MIN($M$3,$C28*(1+$C$2)),0)+IF($D28&gt;0,MIN($N$3,$D28*(1+$D$2)),0)+IF($E28&gt;0,MIN($O$3,$E28*(1+$E$2)),0)+IF($F28&gt;0,MIN($P$3,$F28*(1+$F$2)),0)+IF($G28&gt;0,MIN($Q$3,$G28*(1+$G$2)),0)+IF($H28&gt;0,MIN($R$3,$H28*(1+$H$2)),0)+IF($I28&gt;0,MIN($S$3,$I28*(1+$I$2)),0)+IF($J28&gt;0,MIN($T$3,$J28*(1+$J$2)),0)+IF($K28&gt;0,MIN($U$3,$K28*(1+$K$2)),0)))),MIN($V$3,$L28*(1+L$2))))</f>
        <v/>
      </c>
      <c r="W29" s="37">
        <f>ROUND(SUMPRODUCT($C28:$L28,$C$2:$L$2),2)</f>
        <v/>
      </c>
      <c r="X29" s="37">
        <f>SUM($C29:$L29)</f>
        <v/>
      </c>
      <c r="Y29" s="43">
        <f>IF($X28=0,"",MIN(IF($C28&gt;0,1,'My Debts'!$B$13+1),IF($D28&gt;0,2,'My Debts'!$B$13+1),IF($E28&gt;0,3,'My Debts'!$B$13+1),IF($F28&gt;0,4,'My Debts'!$B$13+1),IF($G28&gt;0,5,'My Debts'!$B$13+1),IF($H28&gt;0,6,'My Debts'!$B$13+1),IF($I28&gt;0,7,'My Debts'!$B$13+1),IF($J28&gt;0,8,'My Debts'!$B$13+1),IF($K28&gt;0,9,'My Debts'!$B$13+1),IF($L28&gt;0,10,'My Debts'!$B$13+1)))</f>
        <v/>
      </c>
    </row>
    <row r="30" ht="18" customHeight="1" s="44">
      <c r="A30" s="42" t="n">
        <v>25</v>
      </c>
      <c r="B30" s="37">
        <f>IF($X29&gt;0,'My Debts'!$B$8,0)</f>
        <v/>
      </c>
      <c r="C30" s="37">
        <f>ROUND(MAX(0,$C29*(1+C$2)-M30),2)</f>
        <v/>
      </c>
      <c r="D30" s="37">
        <f>ROUND(MAX(0,$D29*(1+D$2)-N30),2)</f>
        <v/>
      </c>
      <c r="E30" s="37">
        <f>ROUND(MAX(0,$E29*(1+E$2)-O30),2)</f>
        <v/>
      </c>
      <c r="F30" s="37">
        <f>ROUND(MAX(0,$F29*(1+F$2)-P30),2)</f>
        <v/>
      </c>
      <c r="G30" s="37">
        <f>ROUND(MAX(0,$G29*(1+G$2)-Q30),2)</f>
        <v/>
      </c>
      <c r="H30" s="37">
        <f>ROUND(MAX(0,$H29*(1+H$2)-R30),2)</f>
        <v/>
      </c>
      <c r="I30" s="37">
        <f>ROUND(MAX(0,$I29*(1+I$2)-S30),2)</f>
        <v/>
      </c>
      <c r="J30" s="37">
        <f>ROUND(MAX(0,$J29*(1+J$2)-T30),2)</f>
        <v/>
      </c>
      <c r="K30" s="37">
        <f>ROUND(MAX(0,$K29*(1+K$2)-U30),2)</f>
        <v/>
      </c>
      <c r="L30" s="37">
        <f>ROUND(MAX(0,$L29*(1+L$2)-V30),2)</f>
        <v/>
      </c>
      <c r="M30" s="37">
        <f>IF($C29&lt;=0,0,IF($Y30=1,MIN($C29*(1+C$2),MAX(0,$B30-(IF($D29&gt;0,MIN($N$3,$D29*(1+$D$2)),0)+IF($E29&gt;0,MIN($O$3,$E29*(1+$E$2)),0)+IF($F29&gt;0,MIN($P$3,$F29*(1+$F$2)),0)+IF($G29&gt;0,MIN($Q$3,$G29*(1+$G$2)),0)+IF($H29&gt;0,MIN($R$3,$H29*(1+$H$2)),0)+IF($I29&gt;0,MIN($S$3,$I29*(1+$I$2)),0)+IF($J29&gt;0,MIN($T$3,$J29*(1+$J$2)),0)+IF($K29&gt;0,MIN($U$3,$K29*(1+$K$2)),0)+IF($L29&gt;0,MIN($V$3,$L29*(1+$L$2)),0)))),MIN($M$3,$C29*(1+C$2))))</f>
        <v/>
      </c>
      <c r="N30" s="37">
        <f>IF($D29&lt;=0,0,IF($Y30=2,MIN($D29*(1+D$2),MAX(0,$B30-(IF($C29&gt;0,MIN($M$3,$C29*(1+$C$2)),0)+IF($E29&gt;0,MIN($O$3,$E29*(1+$E$2)),0)+IF($F29&gt;0,MIN($P$3,$F29*(1+$F$2)),0)+IF($G29&gt;0,MIN($Q$3,$G29*(1+$G$2)),0)+IF($H29&gt;0,MIN($R$3,$H29*(1+$H$2)),0)+IF($I29&gt;0,MIN($S$3,$I29*(1+$I$2)),0)+IF($J29&gt;0,MIN($T$3,$J29*(1+$J$2)),0)+IF($K29&gt;0,MIN($U$3,$K29*(1+$K$2)),0)+IF($L29&gt;0,MIN($V$3,$L29*(1+$L$2)),0)))),MIN($N$3,$D29*(1+D$2))))</f>
        <v/>
      </c>
      <c r="O30" s="37">
        <f>IF($E29&lt;=0,0,IF($Y30=3,MIN($E29*(1+E$2),MAX(0,$B30-(IF($C29&gt;0,MIN($M$3,$C29*(1+$C$2)),0)+IF($D29&gt;0,MIN($N$3,$D29*(1+$D$2)),0)+IF($F29&gt;0,MIN($P$3,$F29*(1+$F$2)),0)+IF($G29&gt;0,MIN($Q$3,$G29*(1+$G$2)),0)+IF($H29&gt;0,MIN($R$3,$H29*(1+$H$2)),0)+IF($I29&gt;0,MIN($S$3,$I29*(1+$I$2)),0)+IF($J29&gt;0,MIN($T$3,$J29*(1+$J$2)),0)+IF($K29&gt;0,MIN($U$3,$K29*(1+$K$2)),0)+IF($L29&gt;0,MIN($V$3,$L29*(1+$L$2)),0)))),MIN($O$3,$E29*(1+E$2))))</f>
        <v/>
      </c>
      <c r="P30" s="37">
        <f>IF($F29&lt;=0,0,IF($Y30=4,MIN($F29*(1+F$2),MAX(0,$B30-(IF($C29&gt;0,MIN($M$3,$C29*(1+$C$2)),0)+IF($D29&gt;0,MIN($N$3,$D29*(1+$D$2)),0)+IF($E29&gt;0,MIN($O$3,$E29*(1+$E$2)),0)+IF($G29&gt;0,MIN($Q$3,$G29*(1+$G$2)),0)+IF($H29&gt;0,MIN($R$3,$H29*(1+$H$2)),0)+IF($I29&gt;0,MIN($S$3,$I29*(1+$I$2)),0)+IF($J29&gt;0,MIN($T$3,$J29*(1+$J$2)),0)+IF($K29&gt;0,MIN($U$3,$K29*(1+$K$2)),0)+IF($L29&gt;0,MIN($V$3,$L29*(1+$L$2)),0)))),MIN($P$3,$F29*(1+F$2))))</f>
        <v/>
      </c>
      <c r="Q30" s="37">
        <f>IF($G29&lt;=0,0,IF($Y30=5,MIN($G29*(1+G$2),MAX(0,$B30-(IF($C29&gt;0,MIN($M$3,$C29*(1+$C$2)),0)+IF($D29&gt;0,MIN($N$3,$D29*(1+$D$2)),0)+IF($E29&gt;0,MIN($O$3,$E29*(1+$E$2)),0)+IF($F29&gt;0,MIN($P$3,$F29*(1+$F$2)),0)+IF($H29&gt;0,MIN($R$3,$H29*(1+$H$2)),0)+IF($I29&gt;0,MIN($S$3,$I29*(1+$I$2)),0)+IF($J29&gt;0,MIN($T$3,$J29*(1+$J$2)),0)+IF($K29&gt;0,MIN($U$3,$K29*(1+$K$2)),0)+IF($L29&gt;0,MIN($V$3,$L29*(1+$L$2)),0)))),MIN($Q$3,$G29*(1+G$2))))</f>
        <v/>
      </c>
      <c r="R30" s="37">
        <f>IF($H29&lt;=0,0,IF($Y30=6,MIN($H29*(1+H$2),MAX(0,$B30-(IF($C29&gt;0,MIN($M$3,$C29*(1+$C$2)),0)+IF($D29&gt;0,MIN($N$3,$D29*(1+$D$2)),0)+IF($E29&gt;0,MIN($O$3,$E29*(1+$E$2)),0)+IF($F29&gt;0,MIN($P$3,$F29*(1+$F$2)),0)+IF($G29&gt;0,MIN($Q$3,$G29*(1+$G$2)),0)+IF($I29&gt;0,MIN($S$3,$I29*(1+$I$2)),0)+IF($J29&gt;0,MIN($T$3,$J29*(1+$J$2)),0)+IF($K29&gt;0,MIN($U$3,$K29*(1+$K$2)),0)+IF($L29&gt;0,MIN($V$3,$L29*(1+$L$2)),0)))),MIN($R$3,$H29*(1+H$2))))</f>
        <v/>
      </c>
      <c r="S30" s="37">
        <f>IF($I29&lt;=0,0,IF($Y30=7,MIN($I29*(1+I$2),MAX(0,$B30-(IF($C29&gt;0,MIN($M$3,$C29*(1+$C$2)),0)+IF($D29&gt;0,MIN($N$3,$D29*(1+$D$2)),0)+IF($E29&gt;0,MIN($O$3,$E29*(1+$E$2)),0)+IF($F29&gt;0,MIN($P$3,$F29*(1+$F$2)),0)+IF($G29&gt;0,MIN($Q$3,$G29*(1+$G$2)),0)+IF($H29&gt;0,MIN($R$3,$H29*(1+$H$2)),0)+IF($J29&gt;0,MIN($T$3,$J29*(1+$J$2)),0)+IF($K29&gt;0,MIN($U$3,$K29*(1+$K$2)),0)+IF($L29&gt;0,MIN($V$3,$L29*(1+$L$2)),0)))),MIN($S$3,$I29*(1+I$2))))</f>
        <v/>
      </c>
      <c r="T30" s="37">
        <f>IF($J29&lt;=0,0,IF($Y30=8,MIN($J29*(1+J$2),MAX(0,$B30-(IF($C29&gt;0,MIN($M$3,$C29*(1+$C$2)),0)+IF($D29&gt;0,MIN($N$3,$D29*(1+$D$2)),0)+IF($E29&gt;0,MIN($O$3,$E29*(1+$E$2)),0)+IF($F29&gt;0,MIN($P$3,$F29*(1+$F$2)),0)+IF($G29&gt;0,MIN($Q$3,$G29*(1+$G$2)),0)+IF($H29&gt;0,MIN($R$3,$H29*(1+$H$2)),0)+IF($I29&gt;0,MIN($S$3,$I29*(1+$I$2)),0)+IF($K29&gt;0,MIN($U$3,$K29*(1+$K$2)),0)+IF($L29&gt;0,MIN($V$3,$L29*(1+$L$2)),0)))),MIN($T$3,$J29*(1+J$2))))</f>
        <v/>
      </c>
      <c r="U30" s="37">
        <f>IF($K29&lt;=0,0,IF($Y30=9,MIN($K29*(1+K$2),MAX(0,$B30-(IF($C29&gt;0,MIN($M$3,$C29*(1+$C$2)),0)+IF($D29&gt;0,MIN($N$3,$D29*(1+$D$2)),0)+IF($E29&gt;0,MIN($O$3,$E29*(1+$E$2)),0)+IF($F29&gt;0,MIN($P$3,$F29*(1+$F$2)),0)+IF($G29&gt;0,MIN($Q$3,$G29*(1+$G$2)),0)+IF($H29&gt;0,MIN($R$3,$H29*(1+$H$2)),0)+IF($I29&gt;0,MIN($S$3,$I29*(1+$I$2)),0)+IF($J29&gt;0,MIN($T$3,$J29*(1+$J$2)),0)+IF($L29&gt;0,MIN($V$3,$L29*(1+$L$2)),0)))),MIN($U$3,$K29*(1+K$2))))</f>
        <v/>
      </c>
      <c r="V30" s="37">
        <f>IF($L29&lt;=0,0,IF($Y30=10,MIN($L29*(1+L$2),MAX(0,$B30-(IF($C29&gt;0,MIN($M$3,$C29*(1+$C$2)),0)+IF($D29&gt;0,MIN($N$3,$D29*(1+$D$2)),0)+IF($E29&gt;0,MIN($O$3,$E29*(1+$E$2)),0)+IF($F29&gt;0,MIN($P$3,$F29*(1+$F$2)),0)+IF($G29&gt;0,MIN($Q$3,$G29*(1+$G$2)),0)+IF($H29&gt;0,MIN($R$3,$H29*(1+$H$2)),0)+IF($I29&gt;0,MIN($S$3,$I29*(1+$I$2)),0)+IF($J29&gt;0,MIN($T$3,$J29*(1+$J$2)),0)+IF($K29&gt;0,MIN($U$3,$K29*(1+$K$2)),0)))),MIN($V$3,$L29*(1+L$2))))</f>
        <v/>
      </c>
      <c r="W30" s="37">
        <f>ROUND(SUMPRODUCT($C29:$L29,$C$2:$L$2),2)</f>
        <v/>
      </c>
      <c r="X30" s="37">
        <f>SUM($C30:$L30)</f>
        <v/>
      </c>
      <c r="Y30" s="43">
        <f>IF($X29=0,"",MIN(IF($C29&gt;0,1,'My Debts'!$B$13+1),IF($D29&gt;0,2,'My Debts'!$B$13+1),IF($E29&gt;0,3,'My Debts'!$B$13+1),IF($F29&gt;0,4,'My Debts'!$B$13+1),IF($G29&gt;0,5,'My Debts'!$B$13+1),IF($H29&gt;0,6,'My Debts'!$B$13+1),IF($I29&gt;0,7,'My Debts'!$B$13+1),IF($J29&gt;0,8,'My Debts'!$B$13+1),IF($K29&gt;0,9,'My Debts'!$B$13+1),IF($L29&gt;0,10,'My Debts'!$B$13+1)))</f>
        <v/>
      </c>
    </row>
    <row r="31" ht="18" customHeight="1" s="44">
      <c r="A31" s="42" t="n">
        <v>26</v>
      </c>
      <c r="B31" s="37">
        <f>IF($X30&gt;0,'My Debts'!$B$8,0)</f>
        <v/>
      </c>
      <c r="C31" s="37">
        <f>ROUND(MAX(0,$C30*(1+C$2)-M31),2)</f>
        <v/>
      </c>
      <c r="D31" s="37">
        <f>ROUND(MAX(0,$D30*(1+D$2)-N31),2)</f>
        <v/>
      </c>
      <c r="E31" s="37">
        <f>ROUND(MAX(0,$E30*(1+E$2)-O31),2)</f>
        <v/>
      </c>
      <c r="F31" s="37">
        <f>ROUND(MAX(0,$F30*(1+F$2)-P31),2)</f>
        <v/>
      </c>
      <c r="G31" s="37">
        <f>ROUND(MAX(0,$G30*(1+G$2)-Q31),2)</f>
        <v/>
      </c>
      <c r="H31" s="37">
        <f>ROUND(MAX(0,$H30*(1+H$2)-R31),2)</f>
        <v/>
      </c>
      <c r="I31" s="37">
        <f>ROUND(MAX(0,$I30*(1+I$2)-S31),2)</f>
        <v/>
      </c>
      <c r="J31" s="37">
        <f>ROUND(MAX(0,$J30*(1+J$2)-T31),2)</f>
        <v/>
      </c>
      <c r="K31" s="37">
        <f>ROUND(MAX(0,$K30*(1+K$2)-U31),2)</f>
        <v/>
      </c>
      <c r="L31" s="37">
        <f>ROUND(MAX(0,$L30*(1+L$2)-V31),2)</f>
        <v/>
      </c>
      <c r="M31" s="37">
        <f>IF($C30&lt;=0,0,IF($Y31=1,MIN($C30*(1+C$2),MAX(0,$B31-(IF($D30&gt;0,MIN($N$3,$D30*(1+$D$2)),0)+IF($E30&gt;0,MIN($O$3,$E30*(1+$E$2)),0)+IF($F30&gt;0,MIN($P$3,$F30*(1+$F$2)),0)+IF($G30&gt;0,MIN($Q$3,$G30*(1+$G$2)),0)+IF($H30&gt;0,MIN($R$3,$H30*(1+$H$2)),0)+IF($I30&gt;0,MIN($S$3,$I30*(1+$I$2)),0)+IF($J30&gt;0,MIN($T$3,$J30*(1+$J$2)),0)+IF($K30&gt;0,MIN($U$3,$K30*(1+$K$2)),0)+IF($L30&gt;0,MIN($V$3,$L30*(1+$L$2)),0)))),MIN($M$3,$C30*(1+C$2))))</f>
        <v/>
      </c>
      <c r="N31" s="37">
        <f>IF($D30&lt;=0,0,IF($Y31=2,MIN($D30*(1+D$2),MAX(0,$B31-(IF($C30&gt;0,MIN($M$3,$C30*(1+$C$2)),0)+IF($E30&gt;0,MIN($O$3,$E30*(1+$E$2)),0)+IF($F30&gt;0,MIN($P$3,$F30*(1+$F$2)),0)+IF($G30&gt;0,MIN($Q$3,$G30*(1+$G$2)),0)+IF($H30&gt;0,MIN($R$3,$H30*(1+$H$2)),0)+IF($I30&gt;0,MIN($S$3,$I30*(1+$I$2)),0)+IF($J30&gt;0,MIN($T$3,$J30*(1+$J$2)),0)+IF($K30&gt;0,MIN($U$3,$K30*(1+$K$2)),0)+IF($L30&gt;0,MIN($V$3,$L30*(1+$L$2)),0)))),MIN($N$3,$D30*(1+D$2))))</f>
        <v/>
      </c>
      <c r="O31" s="37">
        <f>IF($E30&lt;=0,0,IF($Y31=3,MIN($E30*(1+E$2),MAX(0,$B31-(IF($C30&gt;0,MIN($M$3,$C30*(1+$C$2)),0)+IF($D30&gt;0,MIN($N$3,$D30*(1+$D$2)),0)+IF($F30&gt;0,MIN($P$3,$F30*(1+$F$2)),0)+IF($G30&gt;0,MIN($Q$3,$G30*(1+$G$2)),0)+IF($H30&gt;0,MIN($R$3,$H30*(1+$H$2)),0)+IF($I30&gt;0,MIN($S$3,$I30*(1+$I$2)),0)+IF($J30&gt;0,MIN($T$3,$J30*(1+$J$2)),0)+IF($K30&gt;0,MIN($U$3,$K30*(1+$K$2)),0)+IF($L30&gt;0,MIN($V$3,$L30*(1+$L$2)),0)))),MIN($O$3,$E30*(1+E$2))))</f>
        <v/>
      </c>
      <c r="P31" s="37">
        <f>IF($F30&lt;=0,0,IF($Y31=4,MIN($F30*(1+F$2),MAX(0,$B31-(IF($C30&gt;0,MIN($M$3,$C30*(1+$C$2)),0)+IF($D30&gt;0,MIN($N$3,$D30*(1+$D$2)),0)+IF($E30&gt;0,MIN($O$3,$E30*(1+$E$2)),0)+IF($G30&gt;0,MIN($Q$3,$G30*(1+$G$2)),0)+IF($H30&gt;0,MIN($R$3,$H30*(1+$H$2)),0)+IF($I30&gt;0,MIN($S$3,$I30*(1+$I$2)),0)+IF($J30&gt;0,MIN($T$3,$J30*(1+$J$2)),0)+IF($K30&gt;0,MIN($U$3,$K30*(1+$K$2)),0)+IF($L30&gt;0,MIN($V$3,$L30*(1+$L$2)),0)))),MIN($P$3,$F30*(1+F$2))))</f>
        <v/>
      </c>
      <c r="Q31" s="37">
        <f>IF($G30&lt;=0,0,IF($Y31=5,MIN($G30*(1+G$2),MAX(0,$B31-(IF($C30&gt;0,MIN($M$3,$C30*(1+$C$2)),0)+IF($D30&gt;0,MIN($N$3,$D30*(1+$D$2)),0)+IF($E30&gt;0,MIN($O$3,$E30*(1+$E$2)),0)+IF($F30&gt;0,MIN($P$3,$F30*(1+$F$2)),0)+IF($H30&gt;0,MIN($R$3,$H30*(1+$H$2)),0)+IF($I30&gt;0,MIN($S$3,$I30*(1+$I$2)),0)+IF($J30&gt;0,MIN($T$3,$J30*(1+$J$2)),0)+IF($K30&gt;0,MIN($U$3,$K30*(1+$K$2)),0)+IF($L30&gt;0,MIN($V$3,$L30*(1+$L$2)),0)))),MIN($Q$3,$G30*(1+G$2))))</f>
        <v/>
      </c>
      <c r="R31" s="37">
        <f>IF($H30&lt;=0,0,IF($Y31=6,MIN($H30*(1+H$2),MAX(0,$B31-(IF($C30&gt;0,MIN($M$3,$C30*(1+$C$2)),0)+IF($D30&gt;0,MIN($N$3,$D30*(1+$D$2)),0)+IF($E30&gt;0,MIN($O$3,$E30*(1+$E$2)),0)+IF($F30&gt;0,MIN($P$3,$F30*(1+$F$2)),0)+IF($G30&gt;0,MIN($Q$3,$G30*(1+$G$2)),0)+IF($I30&gt;0,MIN($S$3,$I30*(1+$I$2)),0)+IF($J30&gt;0,MIN($T$3,$J30*(1+$J$2)),0)+IF($K30&gt;0,MIN($U$3,$K30*(1+$K$2)),0)+IF($L30&gt;0,MIN($V$3,$L30*(1+$L$2)),0)))),MIN($R$3,$H30*(1+H$2))))</f>
        <v/>
      </c>
      <c r="S31" s="37">
        <f>IF($I30&lt;=0,0,IF($Y31=7,MIN($I30*(1+I$2),MAX(0,$B31-(IF($C30&gt;0,MIN($M$3,$C30*(1+$C$2)),0)+IF($D30&gt;0,MIN($N$3,$D30*(1+$D$2)),0)+IF($E30&gt;0,MIN($O$3,$E30*(1+$E$2)),0)+IF($F30&gt;0,MIN($P$3,$F30*(1+$F$2)),0)+IF($G30&gt;0,MIN($Q$3,$G30*(1+$G$2)),0)+IF($H30&gt;0,MIN($R$3,$H30*(1+$H$2)),0)+IF($J30&gt;0,MIN($T$3,$J30*(1+$J$2)),0)+IF($K30&gt;0,MIN($U$3,$K30*(1+$K$2)),0)+IF($L30&gt;0,MIN($V$3,$L30*(1+$L$2)),0)))),MIN($S$3,$I30*(1+I$2))))</f>
        <v/>
      </c>
      <c r="T31" s="37">
        <f>IF($J30&lt;=0,0,IF($Y31=8,MIN($J30*(1+J$2),MAX(0,$B31-(IF($C30&gt;0,MIN($M$3,$C30*(1+$C$2)),0)+IF($D30&gt;0,MIN($N$3,$D30*(1+$D$2)),0)+IF($E30&gt;0,MIN($O$3,$E30*(1+$E$2)),0)+IF($F30&gt;0,MIN($P$3,$F30*(1+$F$2)),0)+IF($G30&gt;0,MIN($Q$3,$G30*(1+$G$2)),0)+IF($H30&gt;0,MIN($R$3,$H30*(1+$H$2)),0)+IF($I30&gt;0,MIN($S$3,$I30*(1+$I$2)),0)+IF($K30&gt;0,MIN($U$3,$K30*(1+$K$2)),0)+IF($L30&gt;0,MIN($V$3,$L30*(1+$L$2)),0)))),MIN($T$3,$J30*(1+J$2))))</f>
        <v/>
      </c>
      <c r="U31" s="37">
        <f>IF($K30&lt;=0,0,IF($Y31=9,MIN($K30*(1+K$2),MAX(0,$B31-(IF($C30&gt;0,MIN($M$3,$C30*(1+$C$2)),0)+IF($D30&gt;0,MIN($N$3,$D30*(1+$D$2)),0)+IF($E30&gt;0,MIN($O$3,$E30*(1+$E$2)),0)+IF($F30&gt;0,MIN($P$3,$F30*(1+$F$2)),0)+IF($G30&gt;0,MIN($Q$3,$G30*(1+$G$2)),0)+IF($H30&gt;0,MIN($R$3,$H30*(1+$H$2)),0)+IF($I30&gt;0,MIN($S$3,$I30*(1+$I$2)),0)+IF($J30&gt;0,MIN($T$3,$J30*(1+$J$2)),0)+IF($L30&gt;0,MIN($V$3,$L30*(1+$L$2)),0)))),MIN($U$3,$K30*(1+K$2))))</f>
        <v/>
      </c>
      <c r="V31" s="37">
        <f>IF($L30&lt;=0,0,IF($Y31=10,MIN($L30*(1+L$2),MAX(0,$B31-(IF($C30&gt;0,MIN($M$3,$C30*(1+$C$2)),0)+IF($D30&gt;0,MIN($N$3,$D30*(1+$D$2)),0)+IF($E30&gt;0,MIN($O$3,$E30*(1+$E$2)),0)+IF($F30&gt;0,MIN($P$3,$F30*(1+$F$2)),0)+IF($G30&gt;0,MIN($Q$3,$G30*(1+$G$2)),0)+IF($H30&gt;0,MIN($R$3,$H30*(1+$H$2)),0)+IF($I30&gt;0,MIN($S$3,$I30*(1+$I$2)),0)+IF($J30&gt;0,MIN($T$3,$J30*(1+$J$2)),0)+IF($K30&gt;0,MIN($U$3,$K30*(1+$K$2)),0)))),MIN($V$3,$L30*(1+L$2))))</f>
        <v/>
      </c>
      <c r="W31" s="37">
        <f>ROUND(SUMPRODUCT($C30:$L30,$C$2:$L$2),2)</f>
        <v/>
      </c>
      <c r="X31" s="37">
        <f>SUM($C31:$L31)</f>
        <v/>
      </c>
      <c r="Y31" s="43">
        <f>IF($X30=0,"",MIN(IF($C30&gt;0,1,'My Debts'!$B$13+1),IF($D30&gt;0,2,'My Debts'!$B$13+1),IF($E30&gt;0,3,'My Debts'!$B$13+1),IF($F30&gt;0,4,'My Debts'!$B$13+1),IF($G30&gt;0,5,'My Debts'!$B$13+1),IF($H30&gt;0,6,'My Debts'!$B$13+1),IF($I30&gt;0,7,'My Debts'!$B$13+1),IF($J30&gt;0,8,'My Debts'!$B$13+1),IF($K30&gt;0,9,'My Debts'!$B$13+1),IF($L30&gt;0,10,'My Debts'!$B$13+1)))</f>
        <v/>
      </c>
    </row>
    <row r="32" ht="18" customHeight="1" s="44">
      <c r="A32" s="42" t="n">
        <v>27</v>
      </c>
      <c r="B32" s="37">
        <f>IF($X31&gt;0,'My Debts'!$B$8,0)</f>
        <v/>
      </c>
      <c r="C32" s="37">
        <f>ROUND(MAX(0,$C31*(1+C$2)-M32),2)</f>
        <v/>
      </c>
      <c r="D32" s="37">
        <f>ROUND(MAX(0,$D31*(1+D$2)-N32),2)</f>
        <v/>
      </c>
      <c r="E32" s="37">
        <f>ROUND(MAX(0,$E31*(1+E$2)-O32),2)</f>
        <v/>
      </c>
      <c r="F32" s="37">
        <f>ROUND(MAX(0,$F31*(1+F$2)-P32),2)</f>
        <v/>
      </c>
      <c r="G32" s="37">
        <f>ROUND(MAX(0,$G31*(1+G$2)-Q32),2)</f>
        <v/>
      </c>
      <c r="H32" s="37">
        <f>ROUND(MAX(0,$H31*(1+H$2)-R32),2)</f>
        <v/>
      </c>
      <c r="I32" s="37">
        <f>ROUND(MAX(0,$I31*(1+I$2)-S32),2)</f>
        <v/>
      </c>
      <c r="J32" s="37">
        <f>ROUND(MAX(0,$J31*(1+J$2)-T32),2)</f>
        <v/>
      </c>
      <c r="K32" s="37">
        <f>ROUND(MAX(0,$K31*(1+K$2)-U32),2)</f>
        <v/>
      </c>
      <c r="L32" s="37">
        <f>ROUND(MAX(0,$L31*(1+L$2)-V32),2)</f>
        <v/>
      </c>
      <c r="M32" s="37">
        <f>IF($C31&lt;=0,0,IF($Y32=1,MIN($C31*(1+C$2),MAX(0,$B32-(IF($D31&gt;0,MIN($N$3,$D31*(1+$D$2)),0)+IF($E31&gt;0,MIN($O$3,$E31*(1+$E$2)),0)+IF($F31&gt;0,MIN($P$3,$F31*(1+$F$2)),0)+IF($G31&gt;0,MIN($Q$3,$G31*(1+$G$2)),0)+IF($H31&gt;0,MIN($R$3,$H31*(1+$H$2)),0)+IF($I31&gt;0,MIN($S$3,$I31*(1+$I$2)),0)+IF($J31&gt;0,MIN($T$3,$J31*(1+$J$2)),0)+IF($K31&gt;0,MIN($U$3,$K31*(1+$K$2)),0)+IF($L31&gt;0,MIN($V$3,$L31*(1+$L$2)),0)))),MIN($M$3,$C31*(1+C$2))))</f>
        <v/>
      </c>
      <c r="N32" s="37">
        <f>IF($D31&lt;=0,0,IF($Y32=2,MIN($D31*(1+D$2),MAX(0,$B32-(IF($C31&gt;0,MIN($M$3,$C31*(1+$C$2)),0)+IF($E31&gt;0,MIN($O$3,$E31*(1+$E$2)),0)+IF($F31&gt;0,MIN($P$3,$F31*(1+$F$2)),0)+IF($G31&gt;0,MIN($Q$3,$G31*(1+$G$2)),0)+IF($H31&gt;0,MIN($R$3,$H31*(1+$H$2)),0)+IF($I31&gt;0,MIN($S$3,$I31*(1+$I$2)),0)+IF($J31&gt;0,MIN($T$3,$J31*(1+$J$2)),0)+IF($K31&gt;0,MIN($U$3,$K31*(1+$K$2)),0)+IF($L31&gt;0,MIN($V$3,$L31*(1+$L$2)),0)))),MIN($N$3,$D31*(1+D$2))))</f>
        <v/>
      </c>
      <c r="O32" s="37">
        <f>IF($E31&lt;=0,0,IF($Y32=3,MIN($E31*(1+E$2),MAX(0,$B32-(IF($C31&gt;0,MIN($M$3,$C31*(1+$C$2)),0)+IF($D31&gt;0,MIN($N$3,$D31*(1+$D$2)),0)+IF($F31&gt;0,MIN($P$3,$F31*(1+$F$2)),0)+IF($G31&gt;0,MIN($Q$3,$G31*(1+$G$2)),0)+IF($H31&gt;0,MIN($R$3,$H31*(1+$H$2)),0)+IF($I31&gt;0,MIN($S$3,$I31*(1+$I$2)),0)+IF($J31&gt;0,MIN($T$3,$J31*(1+$J$2)),0)+IF($K31&gt;0,MIN($U$3,$K31*(1+$K$2)),0)+IF($L31&gt;0,MIN($V$3,$L31*(1+$L$2)),0)))),MIN($O$3,$E31*(1+E$2))))</f>
        <v/>
      </c>
      <c r="P32" s="37">
        <f>IF($F31&lt;=0,0,IF($Y32=4,MIN($F31*(1+F$2),MAX(0,$B32-(IF($C31&gt;0,MIN($M$3,$C31*(1+$C$2)),0)+IF($D31&gt;0,MIN($N$3,$D31*(1+$D$2)),0)+IF($E31&gt;0,MIN($O$3,$E31*(1+$E$2)),0)+IF($G31&gt;0,MIN($Q$3,$G31*(1+$G$2)),0)+IF($H31&gt;0,MIN($R$3,$H31*(1+$H$2)),0)+IF($I31&gt;0,MIN($S$3,$I31*(1+$I$2)),0)+IF($J31&gt;0,MIN($T$3,$J31*(1+$J$2)),0)+IF($K31&gt;0,MIN($U$3,$K31*(1+$K$2)),0)+IF($L31&gt;0,MIN($V$3,$L31*(1+$L$2)),0)))),MIN($P$3,$F31*(1+F$2))))</f>
        <v/>
      </c>
      <c r="Q32" s="37">
        <f>IF($G31&lt;=0,0,IF($Y32=5,MIN($G31*(1+G$2),MAX(0,$B32-(IF($C31&gt;0,MIN($M$3,$C31*(1+$C$2)),0)+IF($D31&gt;0,MIN($N$3,$D31*(1+$D$2)),0)+IF($E31&gt;0,MIN($O$3,$E31*(1+$E$2)),0)+IF($F31&gt;0,MIN($P$3,$F31*(1+$F$2)),0)+IF($H31&gt;0,MIN($R$3,$H31*(1+$H$2)),0)+IF($I31&gt;0,MIN($S$3,$I31*(1+$I$2)),0)+IF($J31&gt;0,MIN($T$3,$J31*(1+$J$2)),0)+IF($K31&gt;0,MIN($U$3,$K31*(1+$K$2)),0)+IF($L31&gt;0,MIN($V$3,$L31*(1+$L$2)),0)))),MIN($Q$3,$G31*(1+G$2))))</f>
        <v/>
      </c>
      <c r="R32" s="37">
        <f>IF($H31&lt;=0,0,IF($Y32=6,MIN($H31*(1+H$2),MAX(0,$B32-(IF($C31&gt;0,MIN($M$3,$C31*(1+$C$2)),0)+IF($D31&gt;0,MIN($N$3,$D31*(1+$D$2)),0)+IF($E31&gt;0,MIN($O$3,$E31*(1+$E$2)),0)+IF($F31&gt;0,MIN($P$3,$F31*(1+$F$2)),0)+IF($G31&gt;0,MIN($Q$3,$G31*(1+$G$2)),0)+IF($I31&gt;0,MIN($S$3,$I31*(1+$I$2)),0)+IF($J31&gt;0,MIN($T$3,$J31*(1+$J$2)),0)+IF($K31&gt;0,MIN($U$3,$K31*(1+$K$2)),0)+IF($L31&gt;0,MIN($V$3,$L31*(1+$L$2)),0)))),MIN($R$3,$H31*(1+H$2))))</f>
        <v/>
      </c>
      <c r="S32" s="37">
        <f>IF($I31&lt;=0,0,IF($Y32=7,MIN($I31*(1+I$2),MAX(0,$B32-(IF($C31&gt;0,MIN($M$3,$C31*(1+$C$2)),0)+IF($D31&gt;0,MIN($N$3,$D31*(1+$D$2)),0)+IF($E31&gt;0,MIN($O$3,$E31*(1+$E$2)),0)+IF($F31&gt;0,MIN($P$3,$F31*(1+$F$2)),0)+IF($G31&gt;0,MIN($Q$3,$G31*(1+$G$2)),0)+IF($H31&gt;0,MIN($R$3,$H31*(1+$H$2)),0)+IF($J31&gt;0,MIN($T$3,$J31*(1+$J$2)),0)+IF($K31&gt;0,MIN($U$3,$K31*(1+$K$2)),0)+IF($L31&gt;0,MIN($V$3,$L31*(1+$L$2)),0)))),MIN($S$3,$I31*(1+I$2))))</f>
        <v/>
      </c>
      <c r="T32" s="37">
        <f>IF($J31&lt;=0,0,IF($Y32=8,MIN($J31*(1+J$2),MAX(0,$B32-(IF($C31&gt;0,MIN($M$3,$C31*(1+$C$2)),0)+IF($D31&gt;0,MIN($N$3,$D31*(1+$D$2)),0)+IF($E31&gt;0,MIN($O$3,$E31*(1+$E$2)),0)+IF($F31&gt;0,MIN($P$3,$F31*(1+$F$2)),0)+IF($G31&gt;0,MIN($Q$3,$G31*(1+$G$2)),0)+IF($H31&gt;0,MIN($R$3,$H31*(1+$H$2)),0)+IF($I31&gt;0,MIN($S$3,$I31*(1+$I$2)),0)+IF($K31&gt;0,MIN($U$3,$K31*(1+$K$2)),0)+IF($L31&gt;0,MIN($V$3,$L31*(1+$L$2)),0)))),MIN($T$3,$J31*(1+J$2))))</f>
        <v/>
      </c>
      <c r="U32" s="37">
        <f>IF($K31&lt;=0,0,IF($Y32=9,MIN($K31*(1+K$2),MAX(0,$B32-(IF($C31&gt;0,MIN($M$3,$C31*(1+$C$2)),0)+IF($D31&gt;0,MIN($N$3,$D31*(1+$D$2)),0)+IF($E31&gt;0,MIN($O$3,$E31*(1+$E$2)),0)+IF($F31&gt;0,MIN($P$3,$F31*(1+$F$2)),0)+IF($G31&gt;0,MIN($Q$3,$G31*(1+$G$2)),0)+IF($H31&gt;0,MIN($R$3,$H31*(1+$H$2)),0)+IF($I31&gt;0,MIN($S$3,$I31*(1+$I$2)),0)+IF($J31&gt;0,MIN($T$3,$J31*(1+$J$2)),0)+IF($L31&gt;0,MIN($V$3,$L31*(1+$L$2)),0)))),MIN($U$3,$K31*(1+K$2))))</f>
        <v/>
      </c>
      <c r="V32" s="37">
        <f>IF($L31&lt;=0,0,IF($Y32=10,MIN($L31*(1+L$2),MAX(0,$B32-(IF($C31&gt;0,MIN($M$3,$C31*(1+$C$2)),0)+IF($D31&gt;0,MIN($N$3,$D31*(1+$D$2)),0)+IF($E31&gt;0,MIN($O$3,$E31*(1+$E$2)),0)+IF($F31&gt;0,MIN($P$3,$F31*(1+$F$2)),0)+IF($G31&gt;0,MIN($Q$3,$G31*(1+$G$2)),0)+IF($H31&gt;0,MIN($R$3,$H31*(1+$H$2)),0)+IF($I31&gt;0,MIN($S$3,$I31*(1+$I$2)),0)+IF($J31&gt;0,MIN($T$3,$J31*(1+$J$2)),0)+IF($K31&gt;0,MIN($U$3,$K31*(1+$K$2)),0)))),MIN($V$3,$L31*(1+L$2))))</f>
        <v/>
      </c>
      <c r="W32" s="37">
        <f>ROUND(SUMPRODUCT($C31:$L31,$C$2:$L$2),2)</f>
        <v/>
      </c>
      <c r="X32" s="37">
        <f>SUM($C32:$L32)</f>
        <v/>
      </c>
      <c r="Y32" s="43">
        <f>IF($X31=0,"",MIN(IF($C31&gt;0,1,'My Debts'!$B$13+1),IF($D31&gt;0,2,'My Debts'!$B$13+1),IF($E31&gt;0,3,'My Debts'!$B$13+1),IF($F31&gt;0,4,'My Debts'!$B$13+1),IF($G31&gt;0,5,'My Debts'!$B$13+1),IF($H31&gt;0,6,'My Debts'!$B$13+1),IF($I31&gt;0,7,'My Debts'!$B$13+1),IF($J31&gt;0,8,'My Debts'!$B$13+1),IF($K31&gt;0,9,'My Debts'!$B$13+1),IF($L31&gt;0,10,'My Debts'!$B$13+1)))</f>
        <v/>
      </c>
    </row>
    <row r="33" ht="18" customHeight="1" s="44">
      <c r="A33" s="42" t="n">
        <v>28</v>
      </c>
      <c r="B33" s="37">
        <f>IF($X32&gt;0,'My Debts'!$B$8,0)</f>
        <v/>
      </c>
      <c r="C33" s="37">
        <f>ROUND(MAX(0,$C32*(1+C$2)-M33),2)</f>
        <v/>
      </c>
      <c r="D33" s="37">
        <f>ROUND(MAX(0,$D32*(1+D$2)-N33),2)</f>
        <v/>
      </c>
      <c r="E33" s="37">
        <f>ROUND(MAX(0,$E32*(1+E$2)-O33),2)</f>
        <v/>
      </c>
      <c r="F33" s="37">
        <f>ROUND(MAX(0,$F32*(1+F$2)-P33),2)</f>
        <v/>
      </c>
      <c r="G33" s="37">
        <f>ROUND(MAX(0,$G32*(1+G$2)-Q33),2)</f>
        <v/>
      </c>
      <c r="H33" s="37">
        <f>ROUND(MAX(0,$H32*(1+H$2)-R33),2)</f>
        <v/>
      </c>
      <c r="I33" s="37">
        <f>ROUND(MAX(0,$I32*(1+I$2)-S33),2)</f>
        <v/>
      </c>
      <c r="J33" s="37">
        <f>ROUND(MAX(0,$J32*(1+J$2)-T33),2)</f>
        <v/>
      </c>
      <c r="K33" s="37">
        <f>ROUND(MAX(0,$K32*(1+K$2)-U33),2)</f>
        <v/>
      </c>
      <c r="L33" s="37">
        <f>ROUND(MAX(0,$L32*(1+L$2)-V33),2)</f>
        <v/>
      </c>
      <c r="M33" s="37">
        <f>IF($C32&lt;=0,0,IF($Y33=1,MIN($C32*(1+C$2),MAX(0,$B33-(IF($D32&gt;0,MIN($N$3,$D32*(1+$D$2)),0)+IF($E32&gt;0,MIN($O$3,$E32*(1+$E$2)),0)+IF($F32&gt;0,MIN($P$3,$F32*(1+$F$2)),0)+IF($G32&gt;0,MIN($Q$3,$G32*(1+$G$2)),0)+IF($H32&gt;0,MIN($R$3,$H32*(1+$H$2)),0)+IF($I32&gt;0,MIN($S$3,$I32*(1+$I$2)),0)+IF($J32&gt;0,MIN($T$3,$J32*(1+$J$2)),0)+IF($K32&gt;0,MIN($U$3,$K32*(1+$K$2)),0)+IF($L32&gt;0,MIN($V$3,$L32*(1+$L$2)),0)))),MIN($M$3,$C32*(1+C$2))))</f>
        <v/>
      </c>
      <c r="N33" s="37">
        <f>IF($D32&lt;=0,0,IF($Y33=2,MIN($D32*(1+D$2),MAX(0,$B33-(IF($C32&gt;0,MIN($M$3,$C32*(1+$C$2)),0)+IF($E32&gt;0,MIN($O$3,$E32*(1+$E$2)),0)+IF($F32&gt;0,MIN($P$3,$F32*(1+$F$2)),0)+IF($G32&gt;0,MIN($Q$3,$G32*(1+$G$2)),0)+IF($H32&gt;0,MIN($R$3,$H32*(1+$H$2)),0)+IF($I32&gt;0,MIN($S$3,$I32*(1+$I$2)),0)+IF($J32&gt;0,MIN($T$3,$J32*(1+$J$2)),0)+IF($K32&gt;0,MIN($U$3,$K32*(1+$K$2)),0)+IF($L32&gt;0,MIN($V$3,$L32*(1+$L$2)),0)))),MIN($N$3,$D32*(1+D$2))))</f>
        <v/>
      </c>
      <c r="O33" s="37">
        <f>IF($E32&lt;=0,0,IF($Y33=3,MIN($E32*(1+E$2),MAX(0,$B33-(IF($C32&gt;0,MIN($M$3,$C32*(1+$C$2)),0)+IF($D32&gt;0,MIN($N$3,$D32*(1+$D$2)),0)+IF($F32&gt;0,MIN($P$3,$F32*(1+$F$2)),0)+IF($G32&gt;0,MIN($Q$3,$G32*(1+$G$2)),0)+IF($H32&gt;0,MIN($R$3,$H32*(1+$H$2)),0)+IF($I32&gt;0,MIN($S$3,$I32*(1+$I$2)),0)+IF($J32&gt;0,MIN($T$3,$J32*(1+$J$2)),0)+IF($K32&gt;0,MIN($U$3,$K32*(1+$K$2)),0)+IF($L32&gt;0,MIN($V$3,$L32*(1+$L$2)),0)))),MIN($O$3,$E32*(1+E$2))))</f>
        <v/>
      </c>
      <c r="P33" s="37">
        <f>IF($F32&lt;=0,0,IF($Y33=4,MIN($F32*(1+F$2),MAX(0,$B33-(IF($C32&gt;0,MIN($M$3,$C32*(1+$C$2)),0)+IF($D32&gt;0,MIN($N$3,$D32*(1+$D$2)),0)+IF($E32&gt;0,MIN($O$3,$E32*(1+$E$2)),0)+IF($G32&gt;0,MIN($Q$3,$G32*(1+$G$2)),0)+IF($H32&gt;0,MIN($R$3,$H32*(1+$H$2)),0)+IF($I32&gt;0,MIN($S$3,$I32*(1+$I$2)),0)+IF($J32&gt;0,MIN($T$3,$J32*(1+$J$2)),0)+IF($K32&gt;0,MIN($U$3,$K32*(1+$K$2)),0)+IF($L32&gt;0,MIN($V$3,$L32*(1+$L$2)),0)))),MIN($P$3,$F32*(1+F$2))))</f>
        <v/>
      </c>
      <c r="Q33" s="37">
        <f>IF($G32&lt;=0,0,IF($Y33=5,MIN($G32*(1+G$2),MAX(0,$B33-(IF($C32&gt;0,MIN($M$3,$C32*(1+$C$2)),0)+IF($D32&gt;0,MIN($N$3,$D32*(1+$D$2)),0)+IF($E32&gt;0,MIN($O$3,$E32*(1+$E$2)),0)+IF($F32&gt;0,MIN($P$3,$F32*(1+$F$2)),0)+IF($H32&gt;0,MIN($R$3,$H32*(1+$H$2)),0)+IF($I32&gt;0,MIN($S$3,$I32*(1+$I$2)),0)+IF($J32&gt;0,MIN($T$3,$J32*(1+$J$2)),0)+IF($K32&gt;0,MIN($U$3,$K32*(1+$K$2)),0)+IF($L32&gt;0,MIN($V$3,$L32*(1+$L$2)),0)))),MIN($Q$3,$G32*(1+G$2))))</f>
        <v/>
      </c>
      <c r="R33" s="37">
        <f>IF($H32&lt;=0,0,IF($Y33=6,MIN($H32*(1+H$2),MAX(0,$B33-(IF($C32&gt;0,MIN($M$3,$C32*(1+$C$2)),0)+IF($D32&gt;0,MIN($N$3,$D32*(1+$D$2)),0)+IF($E32&gt;0,MIN($O$3,$E32*(1+$E$2)),0)+IF($F32&gt;0,MIN($P$3,$F32*(1+$F$2)),0)+IF($G32&gt;0,MIN($Q$3,$G32*(1+$G$2)),0)+IF($I32&gt;0,MIN($S$3,$I32*(1+$I$2)),0)+IF($J32&gt;0,MIN($T$3,$J32*(1+$J$2)),0)+IF($K32&gt;0,MIN($U$3,$K32*(1+$K$2)),0)+IF($L32&gt;0,MIN($V$3,$L32*(1+$L$2)),0)))),MIN($R$3,$H32*(1+H$2))))</f>
        <v/>
      </c>
      <c r="S33" s="37">
        <f>IF($I32&lt;=0,0,IF($Y33=7,MIN($I32*(1+I$2),MAX(0,$B33-(IF($C32&gt;0,MIN($M$3,$C32*(1+$C$2)),0)+IF($D32&gt;0,MIN($N$3,$D32*(1+$D$2)),0)+IF($E32&gt;0,MIN($O$3,$E32*(1+$E$2)),0)+IF($F32&gt;0,MIN($P$3,$F32*(1+$F$2)),0)+IF($G32&gt;0,MIN($Q$3,$G32*(1+$G$2)),0)+IF($H32&gt;0,MIN($R$3,$H32*(1+$H$2)),0)+IF($J32&gt;0,MIN($T$3,$J32*(1+$J$2)),0)+IF($K32&gt;0,MIN($U$3,$K32*(1+$K$2)),0)+IF($L32&gt;0,MIN($V$3,$L32*(1+$L$2)),0)))),MIN($S$3,$I32*(1+I$2))))</f>
        <v/>
      </c>
      <c r="T33" s="37">
        <f>IF($J32&lt;=0,0,IF($Y33=8,MIN($J32*(1+J$2),MAX(0,$B33-(IF($C32&gt;0,MIN($M$3,$C32*(1+$C$2)),0)+IF($D32&gt;0,MIN($N$3,$D32*(1+$D$2)),0)+IF($E32&gt;0,MIN($O$3,$E32*(1+$E$2)),0)+IF($F32&gt;0,MIN($P$3,$F32*(1+$F$2)),0)+IF($G32&gt;0,MIN($Q$3,$G32*(1+$G$2)),0)+IF($H32&gt;0,MIN($R$3,$H32*(1+$H$2)),0)+IF($I32&gt;0,MIN($S$3,$I32*(1+$I$2)),0)+IF($K32&gt;0,MIN($U$3,$K32*(1+$K$2)),0)+IF($L32&gt;0,MIN($V$3,$L32*(1+$L$2)),0)))),MIN($T$3,$J32*(1+J$2))))</f>
        <v/>
      </c>
      <c r="U33" s="37">
        <f>IF($K32&lt;=0,0,IF($Y33=9,MIN($K32*(1+K$2),MAX(0,$B33-(IF($C32&gt;0,MIN($M$3,$C32*(1+$C$2)),0)+IF($D32&gt;0,MIN($N$3,$D32*(1+$D$2)),0)+IF($E32&gt;0,MIN($O$3,$E32*(1+$E$2)),0)+IF($F32&gt;0,MIN($P$3,$F32*(1+$F$2)),0)+IF($G32&gt;0,MIN($Q$3,$G32*(1+$G$2)),0)+IF($H32&gt;0,MIN($R$3,$H32*(1+$H$2)),0)+IF($I32&gt;0,MIN($S$3,$I32*(1+$I$2)),0)+IF($J32&gt;0,MIN($T$3,$J32*(1+$J$2)),0)+IF($L32&gt;0,MIN($V$3,$L32*(1+$L$2)),0)))),MIN($U$3,$K32*(1+K$2))))</f>
        <v/>
      </c>
      <c r="V33" s="37">
        <f>IF($L32&lt;=0,0,IF($Y33=10,MIN($L32*(1+L$2),MAX(0,$B33-(IF($C32&gt;0,MIN($M$3,$C32*(1+$C$2)),0)+IF($D32&gt;0,MIN($N$3,$D32*(1+$D$2)),0)+IF($E32&gt;0,MIN($O$3,$E32*(1+$E$2)),0)+IF($F32&gt;0,MIN($P$3,$F32*(1+$F$2)),0)+IF($G32&gt;0,MIN($Q$3,$G32*(1+$G$2)),0)+IF($H32&gt;0,MIN($R$3,$H32*(1+$H$2)),0)+IF($I32&gt;0,MIN($S$3,$I32*(1+$I$2)),0)+IF($J32&gt;0,MIN($T$3,$J32*(1+$J$2)),0)+IF($K32&gt;0,MIN($U$3,$K32*(1+$K$2)),0)))),MIN($V$3,$L32*(1+L$2))))</f>
        <v/>
      </c>
      <c r="W33" s="37">
        <f>ROUND(SUMPRODUCT($C32:$L32,$C$2:$L$2),2)</f>
        <v/>
      </c>
      <c r="X33" s="37">
        <f>SUM($C33:$L33)</f>
        <v/>
      </c>
      <c r="Y33" s="43">
        <f>IF($X32=0,"",MIN(IF($C32&gt;0,1,'My Debts'!$B$13+1),IF($D32&gt;0,2,'My Debts'!$B$13+1),IF($E32&gt;0,3,'My Debts'!$B$13+1),IF($F32&gt;0,4,'My Debts'!$B$13+1),IF($G32&gt;0,5,'My Debts'!$B$13+1),IF($H32&gt;0,6,'My Debts'!$B$13+1),IF($I32&gt;0,7,'My Debts'!$B$13+1),IF($J32&gt;0,8,'My Debts'!$B$13+1),IF($K32&gt;0,9,'My Debts'!$B$13+1),IF($L32&gt;0,10,'My Debts'!$B$13+1)))</f>
        <v/>
      </c>
    </row>
    <row r="34" ht="18" customHeight="1" s="44">
      <c r="A34" s="42" t="n">
        <v>29</v>
      </c>
      <c r="B34" s="37">
        <f>IF($X33&gt;0,'My Debts'!$B$8,0)</f>
        <v/>
      </c>
      <c r="C34" s="37">
        <f>ROUND(MAX(0,$C33*(1+C$2)-M34),2)</f>
        <v/>
      </c>
      <c r="D34" s="37">
        <f>ROUND(MAX(0,$D33*(1+D$2)-N34),2)</f>
        <v/>
      </c>
      <c r="E34" s="37">
        <f>ROUND(MAX(0,$E33*(1+E$2)-O34),2)</f>
        <v/>
      </c>
      <c r="F34" s="37">
        <f>ROUND(MAX(0,$F33*(1+F$2)-P34),2)</f>
        <v/>
      </c>
      <c r="G34" s="37">
        <f>ROUND(MAX(0,$G33*(1+G$2)-Q34),2)</f>
        <v/>
      </c>
      <c r="H34" s="37">
        <f>ROUND(MAX(0,$H33*(1+H$2)-R34),2)</f>
        <v/>
      </c>
      <c r="I34" s="37">
        <f>ROUND(MAX(0,$I33*(1+I$2)-S34),2)</f>
        <v/>
      </c>
      <c r="J34" s="37">
        <f>ROUND(MAX(0,$J33*(1+J$2)-T34),2)</f>
        <v/>
      </c>
      <c r="K34" s="37">
        <f>ROUND(MAX(0,$K33*(1+K$2)-U34),2)</f>
        <v/>
      </c>
      <c r="L34" s="37">
        <f>ROUND(MAX(0,$L33*(1+L$2)-V34),2)</f>
        <v/>
      </c>
      <c r="M34" s="37">
        <f>IF($C33&lt;=0,0,IF($Y34=1,MIN($C33*(1+C$2),MAX(0,$B34-(IF($D33&gt;0,MIN($N$3,$D33*(1+$D$2)),0)+IF($E33&gt;0,MIN($O$3,$E33*(1+$E$2)),0)+IF($F33&gt;0,MIN($P$3,$F33*(1+$F$2)),0)+IF($G33&gt;0,MIN($Q$3,$G33*(1+$G$2)),0)+IF($H33&gt;0,MIN($R$3,$H33*(1+$H$2)),0)+IF($I33&gt;0,MIN($S$3,$I33*(1+$I$2)),0)+IF($J33&gt;0,MIN($T$3,$J33*(1+$J$2)),0)+IF($K33&gt;0,MIN($U$3,$K33*(1+$K$2)),0)+IF($L33&gt;0,MIN($V$3,$L33*(1+$L$2)),0)))),MIN($M$3,$C33*(1+C$2))))</f>
        <v/>
      </c>
      <c r="N34" s="37">
        <f>IF($D33&lt;=0,0,IF($Y34=2,MIN($D33*(1+D$2),MAX(0,$B34-(IF($C33&gt;0,MIN($M$3,$C33*(1+$C$2)),0)+IF($E33&gt;0,MIN($O$3,$E33*(1+$E$2)),0)+IF($F33&gt;0,MIN($P$3,$F33*(1+$F$2)),0)+IF($G33&gt;0,MIN($Q$3,$G33*(1+$G$2)),0)+IF($H33&gt;0,MIN($R$3,$H33*(1+$H$2)),0)+IF($I33&gt;0,MIN($S$3,$I33*(1+$I$2)),0)+IF($J33&gt;0,MIN($T$3,$J33*(1+$J$2)),0)+IF($K33&gt;0,MIN($U$3,$K33*(1+$K$2)),0)+IF($L33&gt;0,MIN($V$3,$L33*(1+$L$2)),0)))),MIN($N$3,$D33*(1+D$2))))</f>
        <v/>
      </c>
      <c r="O34" s="37">
        <f>IF($E33&lt;=0,0,IF($Y34=3,MIN($E33*(1+E$2),MAX(0,$B34-(IF($C33&gt;0,MIN($M$3,$C33*(1+$C$2)),0)+IF($D33&gt;0,MIN($N$3,$D33*(1+$D$2)),0)+IF($F33&gt;0,MIN($P$3,$F33*(1+$F$2)),0)+IF($G33&gt;0,MIN($Q$3,$G33*(1+$G$2)),0)+IF($H33&gt;0,MIN($R$3,$H33*(1+$H$2)),0)+IF($I33&gt;0,MIN($S$3,$I33*(1+$I$2)),0)+IF($J33&gt;0,MIN($T$3,$J33*(1+$J$2)),0)+IF($K33&gt;0,MIN($U$3,$K33*(1+$K$2)),0)+IF($L33&gt;0,MIN($V$3,$L33*(1+$L$2)),0)))),MIN($O$3,$E33*(1+E$2))))</f>
        <v/>
      </c>
      <c r="P34" s="37">
        <f>IF($F33&lt;=0,0,IF($Y34=4,MIN($F33*(1+F$2),MAX(0,$B34-(IF($C33&gt;0,MIN($M$3,$C33*(1+$C$2)),0)+IF($D33&gt;0,MIN($N$3,$D33*(1+$D$2)),0)+IF($E33&gt;0,MIN($O$3,$E33*(1+$E$2)),0)+IF($G33&gt;0,MIN($Q$3,$G33*(1+$G$2)),0)+IF($H33&gt;0,MIN($R$3,$H33*(1+$H$2)),0)+IF($I33&gt;0,MIN($S$3,$I33*(1+$I$2)),0)+IF($J33&gt;0,MIN($T$3,$J33*(1+$J$2)),0)+IF($K33&gt;0,MIN($U$3,$K33*(1+$K$2)),0)+IF($L33&gt;0,MIN($V$3,$L33*(1+$L$2)),0)))),MIN($P$3,$F33*(1+F$2))))</f>
        <v/>
      </c>
      <c r="Q34" s="37">
        <f>IF($G33&lt;=0,0,IF($Y34=5,MIN($G33*(1+G$2),MAX(0,$B34-(IF($C33&gt;0,MIN($M$3,$C33*(1+$C$2)),0)+IF($D33&gt;0,MIN($N$3,$D33*(1+$D$2)),0)+IF($E33&gt;0,MIN($O$3,$E33*(1+$E$2)),0)+IF($F33&gt;0,MIN($P$3,$F33*(1+$F$2)),0)+IF($H33&gt;0,MIN($R$3,$H33*(1+$H$2)),0)+IF($I33&gt;0,MIN($S$3,$I33*(1+$I$2)),0)+IF($J33&gt;0,MIN($T$3,$J33*(1+$J$2)),0)+IF($K33&gt;0,MIN($U$3,$K33*(1+$K$2)),0)+IF($L33&gt;0,MIN($V$3,$L33*(1+$L$2)),0)))),MIN($Q$3,$G33*(1+G$2))))</f>
        <v/>
      </c>
      <c r="R34" s="37">
        <f>IF($H33&lt;=0,0,IF($Y34=6,MIN($H33*(1+H$2),MAX(0,$B34-(IF($C33&gt;0,MIN($M$3,$C33*(1+$C$2)),0)+IF($D33&gt;0,MIN($N$3,$D33*(1+$D$2)),0)+IF($E33&gt;0,MIN($O$3,$E33*(1+$E$2)),0)+IF($F33&gt;0,MIN($P$3,$F33*(1+$F$2)),0)+IF($G33&gt;0,MIN($Q$3,$G33*(1+$G$2)),0)+IF($I33&gt;0,MIN($S$3,$I33*(1+$I$2)),0)+IF($J33&gt;0,MIN($T$3,$J33*(1+$J$2)),0)+IF($K33&gt;0,MIN($U$3,$K33*(1+$K$2)),0)+IF($L33&gt;0,MIN($V$3,$L33*(1+$L$2)),0)))),MIN($R$3,$H33*(1+H$2))))</f>
        <v/>
      </c>
      <c r="S34" s="37">
        <f>IF($I33&lt;=0,0,IF($Y34=7,MIN($I33*(1+I$2),MAX(0,$B34-(IF($C33&gt;0,MIN($M$3,$C33*(1+$C$2)),0)+IF($D33&gt;0,MIN($N$3,$D33*(1+$D$2)),0)+IF($E33&gt;0,MIN($O$3,$E33*(1+$E$2)),0)+IF($F33&gt;0,MIN($P$3,$F33*(1+$F$2)),0)+IF($G33&gt;0,MIN($Q$3,$G33*(1+$G$2)),0)+IF($H33&gt;0,MIN($R$3,$H33*(1+$H$2)),0)+IF($J33&gt;0,MIN($T$3,$J33*(1+$J$2)),0)+IF($K33&gt;0,MIN($U$3,$K33*(1+$K$2)),0)+IF($L33&gt;0,MIN($V$3,$L33*(1+$L$2)),0)))),MIN($S$3,$I33*(1+I$2))))</f>
        <v/>
      </c>
      <c r="T34" s="37">
        <f>IF($J33&lt;=0,0,IF($Y34=8,MIN($J33*(1+J$2),MAX(0,$B34-(IF($C33&gt;0,MIN($M$3,$C33*(1+$C$2)),0)+IF($D33&gt;0,MIN($N$3,$D33*(1+$D$2)),0)+IF($E33&gt;0,MIN($O$3,$E33*(1+$E$2)),0)+IF($F33&gt;0,MIN($P$3,$F33*(1+$F$2)),0)+IF($G33&gt;0,MIN($Q$3,$G33*(1+$G$2)),0)+IF($H33&gt;0,MIN($R$3,$H33*(1+$H$2)),0)+IF($I33&gt;0,MIN($S$3,$I33*(1+$I$2)),0)+IF($K33&gt;0,MIN($U$3,$K33*(1+$K$2)),0)+IF($L33&gt;0,MIN($V$3,$L33*(1+$L$2)),0)))),MIN($T$3,$J33*(1+J$2))))</f>
        <v/>
      </c>
      <c r="U34" s="37">
        <f>IF($K33&lt;=0,0,IF($Y34=9,MIN($K33*(1+K$2),MAX(0,$B34-(IF($C33&gt;0,MIN($M$3,$C33*(1+$C$2)),0)+IF($D33&gt;0,MIN($N$3,$D33*(1+$D$2)),0)+IF($E33&gt;0,MIN($O$3,$E33*(1+$E$2)),0)+IF($F33&gt;0,MIN($P$3,$F33*(1+$F$2)),0)+IF($G33&gt;0,MIN($Q$3,$G33*(1+$G$2)),0)+IF($H33&gt;0,MIN($R$3,$H33*(1+$H$2)),0)+IF($I33&gt;0,MIN($S$3,$I33*(1+$I$2)),0)+IF($J33&gt;0,MIN($T$3,$J33*(1+$J$2)),0)+IF($L33&gt;0,MIN($V$3,$L33*(1+$L$2)),0)))),MIN($U$3,$K33*(1+K$2))))</f>
        <v/>
      </c>
      <c r="V34" s="37">
        <f>IF($L33&lt;=0,0,IF($Y34=10,MIN($L33*(1+L$2),MAX(0,$B34-(IF($C33&gt;0,MIN($M$3,$C33*(1+$C$2)),0)+IF($D33&gt;0,MIN($N$3,$D33*(1+$D$2)),0)+IF($E33&gt;0,MIN($O$3,$E33*(1+$E$2)),0)+IF($F33&gt;0,MIN($P$3,$F33*(1+$F$2)),0)+IF($G33&gt;0,MIN($Q$3,$G33*(1+$G$2)),0)+IF($H33&gt;0,MIN($R$3,$H33*(1+$H$2)),0)+IF($I33&gt;0,MIN($S$3,$I33*(1+$I$2)),0)+IF($J33&gt;0,MIN($T$3,$J33*(1+$J$2)),0)+IF($K33&gt;0,MIN($U$3,$K33*(1+$K$2)),0)))),MIN($V$3,$L33*(1+L$2))))</f>
        <v/>
      </c>
      <c r="W34" s="37">
        <f>ROUND(SUMPRODUCT($C33:$L33,$C$2:$L$2),2)</f>
        <v/>
      </c>
      <c r="X34" s="37">
        <f>SUM($C34:$L34)</f>
        <v/>
      </c>
      <c r="Y34" s="43">
        <f>IF($X33=0,"",MIN(IF($C33&gt;0,1,'My Debts'!$B$13+1),IF($D33&gt;0,2,'My Debts'!$B$13+1),IF($E33&gt;0,3,'My Debts'!$B$13+1),IF($F33&gt;0,4,'My Debts'!$B$13+1),IF($G33&gt;0,5,'My Debts'!$B$13+1),IF($H33&gt;0,6,'My Debts'!$B$13+1),IF($I33&gt;0,7,'My Debts'!$B$13+1),IF($J33&gt;0,8,'My Debts'!$B$13+1),IF($K33&gt;0,9,'My Debts'!$B$13+1),IF($L33&gt;0,10,'My Debts'!$B$13+1)))</f>
        <v/>
      </c>
    </row>
    <row r="35" ht="18" customHeight="1" s="44">
      <c r="A35" s="42" t="n">
        <v>30</v>
      </c>
      <c r="B35" s="37">
        <f>IF($X34&gt;0,'My Debts'!$B$8,0)</f>
        <v/>
      </c>
      <c r="C35" s="37">
        <f>ROUND(MAX(0,$C34*(1+C$2)-M35),2)</f>
        <v/>
      </c>
      <c r="D35" s="37">
        <f>ROUND(MAX(0,$D34*(1+D$2)-N35),2)</f>
        <v/>
      </c>
      <c r="E35" s="37">
        <f>ROUND(MAX(0,$E34*(1+E$2)-O35),2)</f>
        <v/>
      </c>
      <c r="F35" s="37">
        <f>ROUND(MAX(0,$F34*(1+F$2)-P35),2)</f>
        <v/>
      </c>
      <c r="G35" s="37">
        <f>ROUND(MAX(0,$G34*(1+G$2)-Q35),2)</f>
        <v/>
      </c>
      <c r="H35" s="37">
        <f>ROUND(MAX(0,$H34*(1+H$2)-R35),2)</f>
        <v/>
      </c>
      <c r="I35" s="37">
        <f>ROUND(MAX(0,$I34*(1+I$2)-S35),2)</f>
        <v/>
      </c>
      <c r="J35" s="37">
        <f>ROUND(MAX(0,$J34*(1+J$2)-T35),2)</f>
        <v/>
      </c>
      <c r="K35" s="37">
        <f>ROUND(MAX(0,$K34*(1+K$2)-U35),2)</f>
        <v/>
      </c>
      <c r="L35" s="37">
        <f>ROUND(MAX(0,$L34*(1+L$2)-V35),2)</f>
        <v/>
      </c>
      <c r="M35" s="37">
        <f>IF($C34&lt;=0,0,IF($Y35=1,MIN($C34*(1+C$2),MAX(0,$B35-(IF($D34&gt;0,MIN($N$3,$D34*(1+$D$2)),0)+IF($E34&gt;0,MIN($O$3,$E34*(1+$E$2)),0)+IF($F34&gt;0,MIN($P$3,$F34*(1+$F$2)),0)+IF($G34&gt;0,MIN($Q$3,$G34*(1+$G$2)),0)+IF($H34&gt;0,MIN($R$3,$H34*(1+$H$2)),0)+IF($I34&gt;0,MIN($S$3,$I34*(1+$I$2)),0)+IF($J34&gt;0,MIN($T$3,$J34*(1+$J$2)),0)+IF($K34&gt;0,MIN($U$3,$K34*(1+$K$2)),0)+IF($L34&gt;0,MIN($V$3,$L34*(1+$L$2)),0)))),MIN($M$3,$C34*(1+C$2))))</f>
        <v/>
      </c>
      <c r="N35" s="37">
        <f>IF($D34&lt;=0,0,IF($Y35=2,MIN($D34*(1+D$2),MAX(0,$B35-(IF($C34&gt;0,MIN($M$3,$C34*(1+$C$2)),0)+IF($E34&gt;0,MIN($O$3,$E34*(1+$E$2)),0)+IF($F34&gt;0,MIN($P$3,$F34*(1+$F$2)),0)+IF($G34&gt;0,MIN($Q$3,$G34*(1+$G$2)),0)+IF($H34&gt;0,MIN($R$3,$H34*(1+$H$2)),0)+IF($I34&gt;0,MIN($S$3,$I34*(1+$I$2)),0)+IF($J34&gt;0,MIN($T$3,$J34*(1+$J$2)),0)+IF($K34&gt;0,MIN($U$3,$K34*(1+$K$2)),0)+IF($L34&gt;0,MIN($V$3,$L34*(1+$L$2)),0)))),MIN($N$3,$D34*(1+D$2))))</f>
        <v/>
      </c>
      <c r="O35" s="37">
        <f>IF($E34&lt;=0,0,IF($Y35=3,MIN($E34*(1+E$2),MAX(0,$B35-(IF($C34&gt;0,MIN($M$3,$C34*(1+$C$2)),0)+IF($D34&gt;0,MIN($N$3,$D34*(1+$D$2)),0)+IF($F34&gt;0,MIN($P$3,$F34*(1+$F$2)),0)+IF($G34&gt;0,MIN($Q$3,$G34*(1+$G$2)),0)+IF($H34&gt;0,MIN($R$3,$H34*(1+$H$2)),0)+IF($I34&gt;0,MIN($S$3,$I34*(1+$I$2)),0)+IF($J34&gt;0,MIN($T$3,$J34*(1+$J$2)),0)+IF($K34&gt;0,MIN($U$3,$K34*(1+$K$2)),0)+IF($L34&gt;0,MIN($V$3,$L34*(1+$L$2)),0)))),MIN($O$3,$E34*(1+E$2))))</f>
        <v/>
      </c>
      <c r="P35" s="37">
        <f>IF($F34&lt;=0,0,IF($Y35=4,MIN($F34*(1+F$2),MAX(0,$B35-(IF($C34&gt;0,MIN($M$3,$C34*(1+$C$2)),0)+IF($D34&gt;0,MIN($N$3,$D34*(1+$D$2)),0)+IF($E34&gt;0,MIN($O$3,$E34*(1+$E$2)),0)+IF($G34&gt;0,MIN($Q$3,$G34*(1+$G$2)),0)+IF($H34&gt;0,MIN($R$3,$H34*(1+$H$2)),0)+IF($I34&gt;0,MIN($S$3,$I34*(1+$I$2)),0)+IF($J34&gt;0,MIN($T$3,$J34*(1+$J$2)),0)+IF($K34&gt;0,MIN($U$3,$K34*(1+$K$2)),0)+IF($L34&gt;0,MIN($V$3,$L34*(1+$L$2)),0)))),MIN($P$3,$F34*(1+F$2))))</f>
        <v/>
      </c>
      <c r="Q35" s="37">
        <f>IF($G34&lt;=0,0,IF($Y35=5,MIN($G34*(1+G$2),MAX(0,$B35-(IF($C34&gt;0,MIN($M$3,$C34*(1+$C$2)),0)+IF($D34&gt;0,MIN($N$3,$D34*(1+$D$2)),0)+IF($E34&gt;0,MIN($O$3,$E34*(1+$E$2)),0)+IF($F34&gt;0,MIN($P$3,$F34*(1+$F$2)),0)+IF($H34&gt;0,MIN($R$3,$H34*(1+$H$2)),0)+IF($I34&gt;0,MIN($S$3,$I34*(1+$I$2)),0)+IF($J34&gt;0,MIN($T$3,$J34*(1+$J$2)),0)+IF($K34&gt;0,MIN($U$3,$K34*(1+$K$2)),0)+IF($L34&gt;0,MIN($V$3,$L34*(1+$L$2)),0)))),MIN($Q$3,$G34*(1+G$2))))</f>
        <v/>
      </c>
      <c r="R35" s="37">
        <f>IF($H34&lt;=0,0,IF($Y35=6,MIN($H34*(1+H$2),MAX(0,$B35-(IF($C34&gt;0,MIN($M$3,$C34*(1+$C$2)),0)+IF($D34&gt;0,MIN($N$3,$D34*(1+$D$2)),0)+IF($E34&gt;0,MIN($O$3,$E34*(1+$E$2)),0)+IF($F34&gt;0,MIN($P$3,$F34*(1+$F$2)),0)+IF($G34&gt;0,MIN($Q$3,$G34*(1+$G$2)),0)+IF($I34&gt;0,MIN($S$3,$I34*(1+$I$2)),0)+IF($J34&gt;0,MIN($T$3,$J34*(1+$J$2)),0)+IF($K34&gt;0,MIN($U$3,$K34*(1+$K$2)),0)+IF($L34&gt;0,MIN($V$3,$L34*(1+$L$2)),0)))),MIN($R$3,$H34*(1+H$2))))</f>
        <v/>
      </c>
      <c r="S35" s="37">
        <f>IF($I34&lt;=0,0,IF($Y35=7,MIN($I34*(1+I$2),MAX(0,$B35-(IF($C34&gt;0,MIN($M$3,$C34*(1+$C$2)),0)+IF($D34&gt;0,MIN($N$3,$D34*(1+$D$2)),0)+IF($E34&gt;0,MIN($O$3,$E34*(1+$E$2)),0)+IF($F34&gt;0,MIN($P$3,$F34*(1+$F$2)),0)+IF($G34&gt;0,MIN($Q$3,$G34*(1+$G$2)),0)+IF($H34&gt;0,MIN($R$3,$H34*(1+$H$2)),0)+IF($J34&gt;0,MIN($T$3,$J34*(1+$J$2)),0)+IF($K34&gt;0,MIN($U$3,$K34*(1+$K$2)),0)+IF($L34&gt;0,MIN($V$3,$L34*(1+$L$2)),0)))),MIN($S$3,$I34*(1+I$2))))</f>
        <v/>
      </c>
      <c r="T35" s="37">
        <f>IF($J34&lt;=0,0,IF($Y35=8,MIN($J34*(1+J$2),MAX(0,$B35-(IF($C34&gt;0,MIN($M$3,$C34*(1+$C$2)),0)+IF($D34&gt;0,MIN($N$3,$D34*(1+$D$2)),0)+IF($E34&gt;0,MIN($O$3,$E34*(1+$E$2)),0)+IF($F34&gt;0,MIN($P$3,$F34*(1+$F$2)),0)+IF($G34&gt;0,MIN($Q$3,$G34*(1+$G$2)),0)+IF($H34&gt;0,MIN($R$3,$H34*(1+$H$2)),0)+IF($I34&gt;0,MIN($S$3,$I34*(1+$I$2)),0)+IF($K34&gt;0,MIN($U$3,$K34*(1+$K$2)),0)+IF($L34&gt;0,MIN($V$3,$L34*(1+$L$2)),0)))),MIN($T$3,$J34*(1+J$2))))</f>
        <v/>
      </c>
      <c r="U35" s="37">
        <f>IF($K34&lt;=0,0,IF($Y35=9,MIN($K34*(1+K$2),MAX(0,$B35-(IF($C34&gt;0,MIN($M$3,$C34*(1+$C$2)),0)+IF($D34&gt;0,MIN($N$3,$D34*(1+$D$2)),0)+IF($E34&gt;0,MIN($O$3,$E34*(1+$E$2)),0)+IF($F34&gt;0,MIN($P$3,$F34*(1+$F$2)),0)+IF($G34&gt;0,MIN($Q$3,$G34*(1+$G$2)),0)+IF($H34&gt;0,MIN($R$3,$H34*(1+$H$2)),0)+IF($I34&gt;0,MIN($S$3,$I34*(1+$I$2)),0)+IF($J34&gt;0,MIN($T$3,$J34*(1+$J$2)),0)+IF($L34&gt;0,MIN($V$3,$L34*(1+$L$2)),0)))),MIN($U$3,$K34*(1+K$2))))</f>
        <v/>
      </c>
      <c r="V35" s="37">
        <f>IF($L34&lt;=0,0,IF($Y35=10,MIN($L34*(1+L$2),MAX(0,$B35-(IF($C34&gt;0,MIN($M$3,$C34*(1+$C$2)),0)+IF($D34&gt;0,MIN($N$3,$D34*(1+$D$2)),0)+IF($E34&gt;0,MIN($O$3,$E34*(1+$E$2)),0)+IF($F34&gt;0,MIN($P$3,$F34*(1+$F$2)),0)+IF($G34&gt;0,MIN($Q$3,$G34*(1+$G$2)),0)+IF($H34&gt;0,MIN($R$3,$H34*(1+$H$2)),0)+IF($I34&gt;0,MIN($S$3,$I34*(1+$I$2)),0)+IF($J34&gt;0,MIN($T$3,$J34*(1+$J$2)),0)+IF($K34&gt;0,MIN($U$3,$K34*(1+$K$2)),0)))),MIN($V$3,$L34*(1+L$2))))</f>
        <v/>
      </c>
      <c r="W35" s="37">
        <f>ROUND(SUMPRODUCT($C34:$L34,$C$2:$L$2),2)</f>
        <v/>
      </c>
      <c r="X35" s="37">
        <f>SUM($C35:$L35)</f>
        <v/>
      </c>
      <c r="Y35" s="43">
        <f>IF($X34=0,"",MIN(IF($C34&gt;0,1,'My Debts'!$B$13+1),IF($D34&gt;0,2,'My Debts'!$B$13+1),IF($E34&gt;0,3,'My Debts'!$B$13+1),IF($F34&gt;0,4,'My Debts'!$B$13+1),IF($G34&gt;0,5,'My Debts'!$B$13+1),IF($H34&gt;0,6,'My Debts'!$B$13+1),IF($I34&gt;0,7,'My Debts'!$B$13+1),IF($J34&gt;0,8,'My Debts'!$B$13+1),IF($K34&gt;0,9,'My Debts'!$B$13+1),IF($L34&gt;0,10,'My Debts'!$B$13+1)))</f>
        <v/>
      </c>
    </row>
    <row r="36" ht="18" customHeight="1" s="44">
      <c r="A36" s="42" t="n">
        <v>31</v>
      </c>
      <c r="B36" s="37">
        <f>IF($X35&gt;0,'My Debts'!$B$8,0)</f>
        <v/>
      </c>
      <c r="C36" s="37">
        <f>ROUND(MAX(0,$C35*(1+C$2)-M36),2)</f>
        <v/>
      </c>
      <c r="D36" s="37">
        <f>ROUND(MAX(0,$D35*(1+D$2)-N36),2)</f>
        <v/>
      </c>
      <c r="E36" s="37">
        <f>ROUND(MAX(0,$E35*(1+E$2)-O36),2)</f>
        <v/>
      </c>
      <c r="F36" s="37">
        <f>ROUND(MAX(0,$F35*(1+F$2)-P36),2)</f>
        <v/>
      </c>
      <c r="G36" s="37">
        <f>ROUND(MAX(0,$G35*(1+G$2)-Q36),2)</f>
        <v/>
      </c>
      <c r="H36" s="37">
        <f>ROUND(MAX(0,$H35*(1+H$2)-R36),2)</f>
        <v/>
      </c>
      <c r="I36" s="37">
        <f>ROUND(MAX(0,$I35*(1+I$2)-S36),2)</f>
        <v/>
      </c>
      <c r="J36" s="37">
        <f>ROUND(MAX(0,$J35*(1+J$2)-T36),2)</f>
        <v/>
      </c>
      <c r="K36" s="37">
        <f>ROUND(MAX(0,$K35*(1+K$2)-U36),2)</f>
        <v/>
      </c>
      <c r="L36" s="37">
        <f>ROUND(MAX(0,$L35*(1+L$2)-V36),2)</f>
        <v/>
      </c>
      <c r="M36" s="37">
        <f>IF($C35&lt;=0,0,IF($Y36=1,MIN($C35*(1+C$2),MAX(0,$B36-(IF($D35&gt;0,MIN($N$3,$D35*(1+$D$2)),0)+IF($E35&gt;0,MIN($O$3,$E35*(1+$E$2)),0)+IF($F35&gt;0,MIN($P$3,$F35*(1+$F$2)),0)+IF($G35&gt;0,MIN($Q$3,$G35*(1+$G$2)),0)+IF($H35&gt;0,MIN($R$3,$H35*(1+$H$2)),0)+IF($I35&gt;0,MIN($S$3,$I35*(1+$I$2)),0)+IF($J35&gt;0,MIN($T$3,$J35*(1+$J$2)),0)+IF($K35&gt;0,MIN($U$3,$K35*(1+$K$2)),0)+IF($L35&gt;0,MIN($V$3,$L35*(1+$L$2)),0)))),MIN($M$3,$C35*(1+C$2))))</f>
        <v/>
      </c>
      <c r="N36" s="37">
        <f>IF($D35&lt;=0,0,IF($Y36=2,MIN($D35*(1+D$2),MAX(0,$B36-(IF($C35&gt;0,MIN($M$3,$C35*(1+$C$2)),0)+IF($E35&gt;0,MIN($O$3,$E35*(1+$E$2)),0)+IF($F35&gt;0,MIN($P$3,$F35*(1+$F$2)),0)+IF($G35&gt;0,MIN($Q$3,$G35*(1+$G$2)),0)+IF($H35&gt;0,MIN($R$3,$H35*(1+$H$2)),0)+IF($I35&gt;0,MIN($S$3,$I35*(1+$I$2)),0)+IF($J35&gt;0,MIN($T$3,$J35*(1+$J$2)),0)+IF($K35&gt;0,MIN($U$3,$K35*(1+$K$2)),0)+IF($L35&gt;0,MIN($V$3,$L35*(1+$L$2)),0)))),MIN($N$3,$D35*(1+D$2))))</f>
        <v/>
      </c>
      <c r="O36" s="37">
        <f>IF($E35&lt;=0,0,IF($Y36=3,MIN($E35*(1+E$2),MAX(0,$B36-(IF($C35&gt;0,MIN($M$3,$C35*(1+$C$2)),0)+IF($D35&gt;0,MIN($N$3,$D35*(1+$D$2)),0)+IF($F35&gt;0,MIN($P$3,$F35*(1+$F$2)),0)+IF($G35&gt;0,MIN($Q$3,$G35*(1+$G$2)),0)+IF($H35&gt;0,MIN($R$3,$H35*(1+$H$2)),0)+IF($I35&gt;0,MIN($S$3,$I35*(1+$I$2)),0)+IF($J35&gt;0,MIN($T$3,$J35*(1+$J$2)),0)+IF($K35&gt;0,MIN($U$3,$K35*(1+$K$2)),0)+IF($L35&gt;0,MIN($V$3,$L35*(1+$L$2)),0)))),MIN($O$3,$E35*(1+E$2))))</f>
        <v/>
      </c>
      <c r="P36" s="37">
        <f>IF($F35&lt;=0,0,IF($Y36=4,MIN($F35*(1+F$2),MAX(0,$B36-(IF($C35&gt;0,MIN($M$3,$C35*(1+$C$2)),0)+IF($D35&gt;0,MIN($N$3,$D35*(1+$D$2)),0)+IF($E35&gt;0,MIN($O$3,$E35*(1+$E$2)),0)+IF($G35&gt;0,MIN($Q$3,$G35*(1+$G$2)),0)+IF($H35&gt;0,MIN($R$3,$H35*(1+$H$2)),0)+IF($I35&gt;0,MIN($S$3,$I35*(1+$I$2)),0)+IF($J35&gt;0,MIN($T$3,$J35*(1+$J$2)),0)+IF($K35&gt;0,MIN($U$3,$K35*(1+$K$2)),0)+IF($L35&gt;0,MIN($V$3,$L35*(1+$L$2)),0)))),MIN($P$3,$F35*(1+F$2))))</f>
        <v/>
      </c>
      <c r="Q36" s="37">
        <f>IF($G35&lt;=0,0,IF($Y36=5,MIN($G35*(1+G$2),MAX(0,$B36-(IF($C35&gt;0,MIN($M$3,$C35*(1+$C$2)),0)+IF($D35&gt;0,MIN($N$3,$D35*(1+$D$2)),0)+IF($E35&gt;0,MIN($O$3,$E35*(1+$E$2)),0)+IF($F35&gt;0,MIN($P$3,$F35*(1+$F$2)),0)+IF($H35&gt;0,MIN($R$3,$H35*(1+$H$2)),0)+IF($I35&gt;0,MIN($S$3,$I35*(1+$I$2)),0)+IF($J35&gt;0,MIN($T$3,$J35*(1+$J$2)),0)+IF($K35&gt;0,MIN($U$3,$K35*(1+$K$2)),0)+IF($L35&gt;0,MIN($V$3,$L35*(1+$L$2)),0)))),MIN($Q$3,$G35*(1+G$2))))</f>
        <v/>
      </c>
      <c r="R36" s="37">
        <f>IF($H35&lt;=0,0,IF($Y36=6,MIN($H35*(1+H$2),MAX(0,$B36-(IF($C35&gt;0,MIN($M$3,$C35*(1+$C$2)),0)+IF($D35&gt;0,MIN($N$3,$D35*(1+$D$2)),0)+IF($E35&gt;0,MIN($O$3,$E35*(1+$E$2)),0)+IF($F35&gt;0,MIN($P$3,$F35*(1+$F$2)),0)+IF($G35&gt;0,MIN($Q$3,$G35*(1+$G$2)),0)+IF($I35&gt;0,MIN($S$3,$I35*(1+$I$2)),0)+IF($J35&gt;0,MIN($T$3,$J35*(1+$J$2)),0)+IF($K35&gt;0,MIN($U$3,$K35*(1+$K$2)),0)+IF($L35&gt;0,MIN($V$3,$L35*(1+$L$2)),0)))),MIN($R$3,$H35*(1+H$2))))</f>
        <v/>
      </c>
      <c r="S36" s="37">
        <f>IF($I35&lt;=0,0,IF($Y36=7,MIN($I35*(1+I$2),MAX(0,$B36-(IF($C35&gt;0,MIN($M$3,$C35*(1+$C$2)),0)+IF($D35&gt;0,MIN($N$3,$D35*(1+$D$2)),0)+IF($E35&gt;0,MIN($O$3,$E35*(1+$E$2)),0)+IF($F35&gt;0,MIN($P$3,$F35*(1+$F$2)),0)+IF($G35&gt;0,MIN($Q$3,$G35*(1+$G$2)),0)+IF($H35&gt;0,MIN($R$3,$H35*(1+$H$2)),0)+IF($J35&gt;0,MIN($T$3,$J35*(1+$J$2)),0)+IF($K35&gt;0,MIN($U$3,$K35*(1+$K$2)),0)+IF($L35&gt;0,MIN($V$3,$L35*(1+$L$2)),0)))),MIN($S$3,$I35*(1+I$2))))</f>
        <v/>
      </c>
      <c r="T36" s="37">
        <f>IF($J35&lt;=0,0,IF($Y36=8,MIN($J35*(1+J$2),MAX(0,$B36-(IF($C35&gt;0,MIN($M$3,$C35*(1+$C$2)),0)+IF($D35&gt;0,MIN($N$3,$D35*(1+$D$2)),0)+IF($E35&gt;0,MIN($O$3,$E35*(1+$E$2)),0)+IF($F35&gt;0,MIN($P$3,$F35*(1+$F$2)),0)+IF($G35&gt;0,MIN($Q$3,$G35*(1+$G$2)),0)+IF($H35&gt;0,MIN($R$3,$H35*(1+$H$2)),0)+IF($I35&gt;0,MIN($S$3,$I35*(1+$I$2)),0)+IF($K35&gt;0,MIN($U$3,$K35*(1+$K$2)),0)+IF($L35&gt;0,MIN($V$3,$L35*(1+$L$2)),0)))),MIN($T$3,$J35*(1+J$2))))</f>
        <v/>
      </c>
      <c r="U36" s="37">
        <f>IF($K35&lt;=0,0,IF($Y36=9,MIN($K35*(1+K$2),MAX(0,$B36-(IF($C35&gt;0,MIN($M$3,$C35*(1+$C$2)),0)+IF($D35&gt;0,MIN($N$3,$D35*(1+$D$2)),0)+IF($E35&gt;0,MIN($O$3,$E35*(1+$E$2)),0)+IF($F35&gt;0,MIN($P$3,$F35*(1+$F$2)),0)+IF($G35&gt;0,MIN($Q$3,$G35*(1+$G$2)),0)+IF($H35&gt;0,MIN($R$3,$H35*(1+$H$2)),0)+IF($I35&gt;0,MIN($S$3,$I35*(1+$I$2)),0)+IF($J35&gt;0,MIN($T$3,$J35*(1+$J$2)),0)+IF($L35&gt;0,MIN($V$3,$L35*(1+$L$2)),0)))),MIN($U$3,$K35*(1+K$2))))</f>
        <v/>
      </c>
      <c r="V36" s="37">
        <f>IF($L35&lt;=0,0,IF($Y36=10,MIN($L35*(1+L$2),MAX(0,$B36-(IF($C35&gt;0,MIN($M$3,$C35*(1+$C$2)),0)+IF($D35&gt;0,MIN($N$3,$D35*(1+$D$2)),0)+IF($E35&gt;0,MIN($O$3,$E35*(1+$E$2)),0)+IF($F35&gt;0,MIN($P$3,$F35*(1+$F$2)),0)+IF($G35&gt;0,MIN($Q$3,$G35*(1+$G$2)),0)+IF($H35&gt;0,MIN($R$3,$H35*(1+$H$2)),0)+IF($I35&gt;0,MIN($S$3,$I35*(1+$I$2)),0)+IF($J35&gt;0,MIN($T$3,$J35*(1+$J$2)),0)+IF($K35&gt;0,MIN($U$3,$K35*(1+$K$2)),0)))),MIN($V$3,$L35*(1+L$2))))</f>
        <v/>
      </c>
      <c r="W36" s="37">
        <f>ROUND(SUMPRODUCT($C35:$L35,$C$2:$L$2),2)</f>
        <v/>
      </c>
      <c r="X36" s="37">
        <f>SUM($C36:$L36)</f>
        <v/>
      </c>
      <c r="Y36" s="43">
        <f>IF($X35=0,"",MIN(IF($C35&gt;0,1,'My Debts'!$B$13+1),IF($D35&gt;0,2,'My Debts'!$B$13+1),IF($E35&gt;0,3,'My Debts'!$B$13+1),IF($F35&gt;0,4,'My Debts'!$B$13+1),IF($G35&gt;0,5,'My Debts'!$B$13+1),IF($H35&gt;0,6,'My Debts'!$B$13+1),IF($I35&gt;0,7,'My Debts'!$B$13+1),IF($J35&gt;0,8,'My Debts'!$B$13+1),IF($K35&gt;0,9,'My Debts'!$B$13+1),IF($L35&gt;0,10,'My Debts'!$B$13+1)))</f>
        <v/>
      </c>
    </row>
    <row r="37" ht="18" customHeight="1" s="44">
      <c r="A37" s="42" t="n">
        <v>32</v>
      </c>
      <c r="B37" s="37">
        <f>IF($X36&gt;0,'My Debts'!$B$8,0)</f>
        <v/>
      </c>
      <c r="C37" s="37">
        <f>ROUND(MAX(0,$C36*(1+C$2)-M37),2)</f>
        <v/>
      </c>
      <c r="D37" s="37">
        <f>ROUND(MAX(0,$D36*(1+D$2)-N37),2)</f>
        <v/>
      </c>
      <c r="E37" s="37">
        <f>ROUND(MAX(0,$E36*(1+E$2)-O37),2)</f>
        <v/>
      </c>
      <c r="F37" s="37">
        <f>ROUND(MAX(0,$F36*(1+F$2)-P37),2)</f>
        <v/>
      </c>
      <c r="G37" s="37">
        <f>ROUND(MAX(0,$G36*(1+G$2)-Q37),2)</f>
        <v/>
      </c>
      <c r="H37" s="37">
        <f>ROUND(MAX(0,$H36*(1+H$2)-R37),2)</f>
        <v/>
      </c>
      <c r="I37" s="37">
        <f>ROUND(MAX(0,$I36*(1+I$2)-S37),2)</f>
        <v/>
      </c>
      <c r="J37" s="37">
        <f>ROUND(MAX(0,$J36*(1+J$2)-T37),2)</f>
        <v/>
      </c>
      <c r="K37" s="37">
        <f>ROUND(MAX(0,$K36*(1+K$2)-U37),2)</f>
        <v/>
      </c>
      <c r="L37" s="37">
        <f>ROUND(MAX(0,$L36*(1+L$2)-V37),2)</f>
        <v/>
      </c>
      <c r="M37" s="37">
        <f>IF($C36&lt;=0,0,IF($Y37=1,MIN($C36*(1+C$2),MAX(0,$B37-(IF($D36&gt;0,MIN($N$3,$D36*(1+$D$2)),0)+IF($E36&gt;0,MIN($O$3,$E36*(1+$E$2)),0)+IF($F36&gt;0,MIN($P$3,$F36*(1+$F$2)),0)+IF($G36&gt;0,MIN($Q$3,$G36*(1+$G$2)),0)+IF($H36&gt;0,MIN($R$3,$H36*(1+$H$2)),0)+IF($I36&gt;0,MIN($S$3,$I36*(1+$I$2)),0)+IF($J36&gt;0,MIN($T$3,$J36*(1+$J$2)),0)+IF($K36&gt;0,MIN($U$3,$K36*(1+$K$2)),0)+IF($L36&gt;0,MIN($V$3,$L36*(1+$L$2)),0)))),MIN($M$3,$C36*(1+C$2))))</f>
        <v/>
      </c>
      <c r="N37" s="37">
        <f>IF($D36&lt;=0,0,IF($Y37=2,MIN($D36*(1+D$2),MAX(0,$B37-(IF($C36&gt;0,MIN($M$3,$C36*(1+$C$2)),0)+IF($E36&gt;0,MIN($O$3,$E36*(1+$E$2)),0)+IF($F36&gt;0,MIN($P$3,$F36*(1+$F$2)),0)+IF($G36&gt;0,MIN($Q$3,$G36*(1+$G$2)),0)+IF($H36&gt;0,MIN($R$3,$H36*(1+$H$2)),0)+IF($I36&gt;0,MIN($S$3,$I36*(1+$I$2)),0)+IF($J36&gt;0,MIN($T$3,$J36*(1+$J$2)),0)+IF($K36&gt;0,MIN($U$3,$K36*(1+$K$2)),0)+IF($L36&gt;0,MIN($V$3,$L36*(1+$L$2)),0)))),MIN($N$3,$D36*(1+D$2))))</f>
        <v/>
      </c>
      <c r="O37" s="37">
        <f>IF($E36&lt;=0,0,IF($Y37=3,MIN($E36*(1+E$2),MAX(0,$B37-(IF($C36&gt;0,MIN($M$3,$C36*(1+$C$2)),0)+IF($D36&gt;0,MIN($N$3,$D36*(1+$D$2)),0)+IF($F36&gt;0,MIN($P$3,$F36*(1+$F$2)),0)+IF($G36&gt;0,MIN($Q$3,$G36*(1+$G$2)),0)+IF($H36&gt;0,MIN($R$3,$H36*(1+$H$2)),0)+IF($I36&gt;0,MIN($S$3,$I36*(1+$I$2)),0)+IF($J36&gt;0,MIN($T$3,$J36*(1+$J$2)),0)+IF($K36&gt;0,MIN($U$3,$K36*(1+$K$2)),0)+IF($L36&gt;0,MIN($V$3,$L36*(1+$L$2)),0)))),MIN($O$3,$E36*(1+E$2))))</f>
        <v/>
      </c>
      <c r="P37" s="37">
        <f>IF($F36&lt;=0,0,IF($Y37=4,MIN($F36*(1+F$2),MAX(0,$B37-(IF($C36&gt;0,MIN($M$3,$C36*(1+$C$2)),0)+IF($D36&gt;0,MIN($N$3,$D36*(1+$D$2)),0)+IF($E36&gt;0,MIN($O$3,$E36*(1+$E$2)),0)+IF($G36&gt;0,MIN($Q$3,$G36*(1+$G$2)),0)+IF($H36&gt;0,MIN($R$3,$H36*(1+$H$2)),0)+IF($I36&gt;0,MIN($S$3,$I36*(1+$I$2)),0)+IF($J36&gt;0,MIN($T$3,$J36*(1+$J$2)),0)+IF($K36&gt;0,MIN($U$3,$K36*(1+$K$2)),0)+IF($L36&gt;0,MIN($V$3,$L36*(1+$L$2)),0)))),MIN($P$3,$F36*(1+F$2))))</f>
        <v/>
      </c>
      <c r="Q37" s="37">
        <f>IF($G36&lt;=0,0,IF($Y37=5,MIN($G36*(1+G$2),MAX(0,$B37-(IF($C36&gt;0,MIN($M$3,$C36*(1+$C$2)),0)+IF($D36&gt;0,MIN($N$3,$D36*(1+$D$2)),0)+IF($E36&gt;0,MIN($O$3,$E36*(1+$E$2)),0)+IF($F36&gt;0,MIN($P$3,$F36*(1+$F$2)),0)+IF($H36&gt;0,MIN($R$3,$H36*(1+$H$2)),0)+IF($I36&gt;0,MIN($S$3,$I36*(1+$I$2)),0)+IF($J36&gt;0,MIN($T$3,$J36*(1+$J$2)),0)+IF($K36&gt;0,MIN($U$3,$K36*(1+$K$2)),0)+IF($L36&gt;0,MIN($V$3,$L36*(1+$L$2)),0)))),MIN($Q$3,$G36*(1+G$2))))</f>
        <v/>
      </c>
      <c r="R37" s="37">
        <f>IF($H36&lt;=0,0,IF($Y37=6,MIN($H36*(1+H$2),MAX(0,$B37-(IF($C36&gt;0,MIN($M$3,$C36*(1+$C$2)),0)+IF($D36&gt;0,MIN($N$3,$D36*(1+$D$2)),0)+IF($E36&gt;0,MIN($O$3,$E36*(1+$E$2)),0)+IF($F36&gt;0,MIN($P$3,$F36*(1+$F$2)),0)+IF($G36&gt;0,MIN($Q$3,$G36*(1+$G$2)),0)+IF($I36&gt;0,MIN($S$3,$I36*(1+$I$2)),0)+IF($J36&gt;0,MIN($T$3,$J36*(1+$J$2)),0)+IF($K36&gt;0,MIN($U$3,$K36*(1+$K$2)),0)+IF($L36&gt;0,MIN($V$3,$L36*(1+$L$2)),0)))),MIN($R$3,$H36*(1+H$2))))</f>
        <v/>
      </c>
      <c r="S37" s="37">
        <f>IF($I36&lt;=0,0,IF($Y37=7,MIN($I36*(1+I$2),MAX(0,$B37-(IF($C36&gt;0,MIN($M$3,$C36*(1+$C$2)),0)+IF($D36&gt;0,MIN($N$3,$D36*(1+$D$2)),0)+IF($E36&gt;0,MIN($O$3,$E36*(1+$E$2)),0)+IF($F36&gt;0,MIN($P$3,$F36*(1+$F$2)),0)+IF($G36&gt;0,MIN($Q$3,$G36*(1+$G$2)),0)+IF($H36&gt;0,MIN($R$3,$H36*(1+$H$2)),0)+IF($J36&gt;0,MIN($T$3,$J36*(1+$J$2)),0)+IF($K36&gt;0,MIN($U$3,$K36*(1+$K$2)),0)+IF($L36&gt;0,MIN($V$3,$L36*(1+$L$2)),0)))),MIN($S$3,$I36*(1+I$2))))</f>
        <v/>
      </c>
      <c r="T37" s="37">
        <f>IF($J36&lt;=0,0,IF($Y37=8,MIN($J36*(1+J$2),MAX(0,$B37-(IF($C36&gt;0,MIN($M$3,$C36*(1+$C$2)),0)+IF($D36&gt;0,MIN($N$3,$D36*(1+$D$2)),0)+IF($E36&gt;0,MIN($O$3,$E36*(1+$E$2)),0)+IF($F36&gt;0,MIN($P$3,$F36*(1+$F$2)),0)+IF($G36&gt;0,MIN($Q$3,$G36*(1+$G$2)),0)+IF($H36&gt;0,MIN($R$3,$H36*(1+$H$2)),0)+IF($I36&gt;0,MIN($S$3,$I36*(1+$I$2)),0)+IF($K36&gt;0,MIN($U$3,$K36*(1+$K$2)),0)+IF($L36&gt;0,MIN($V$3,$L36*(1+$L$2)),0)))),MIN($T$3,$J36*(1+J$2))))</f>
        <v/>
      </c>
      <c r="U37" s="37">
        <f>IF($K36&lt;=0,0,IF($Y37=9,MIN($K36*(1+K$2),MAX(0,$B37-(IF($C36&gt;0,MIN($M$3,$C36*(1+$C$2)),0)+IF($D36&gt;0,MIN($N$3,$D36*(1+$D$2)),0)+IF($E36&gt;0,MIN($O$3,$E36*(1+$E$2)),0)+IF($F36&gt;0,MIN($P$3,$F36*(1+$F$2)),0)+IF($G36&gt;0,MIN($Q$3,$G36*(1+$G$2)),0)+IF($H36&gt;0,MIN($R$3,$H36*(1+$H$2)),0)+IF($I36&gt;0,MIN($S$3,$I36*(1+$I$2)),0)+IF($J36&gt;0,MIN($T$3,$J36*(1+$J$2)),0)+IF($L36&gt;0,MIN($V$3,$L36*(1+$L$2)),0)))),MIN($U$3,$K36*(1+K$2))))</f>
        <v/>
      </c>
      <c r="V37" s="37">
        <f>IF($L36&lt;=0,0,IF($Y37=10,MIN($L36*(1+L$2),MAX(0,$B37-(IF($C36&gt;0,MIN($M$3,$C36*(1+$C$2)),0)+IF($D36&gt;0,MIN($N$3,$D36*(1+$D$2)),0)+IF($E36&gt;0,MIN($O$3,$E36*(1+$E$2)),0)+IF($F36&gt;0,MIN($P$3,$F36*(1+$F$2)),0)+IF($G36&gt;0,MIN($Q$3,$G36*(1+$G$2)),0)+IF($H36&gt;0,MIN($R$3,$H36*(1+$H$2)),0)+IF($I36&gt;0,MIN($S$3,$I36*(1+$I$2)),0)+IF($J36&gt;0,MIN($T$3,$J36*(1+$J$2)),0)+IF($K36&gt;0,MIN($U$3,$K36*(1+$K$2)),0)))),MIN($V$3,$L36*(1+L$2))))</f>
        <v/>
      </c>
      <c r="W37" s="37">
        <f>ROUND(SUMPRODUCT($C36:$L36,$C$2:$L$2),2)</f>
        <v/>
      </c>
      <c r="X37" s="37">
        <f>SUM($C37:$L37)</f>
        <v/>
      </c>
      <c r="Y37" s="42">
        <f>IF($X36=0,"",MIN(IF($C36&gt;0,1,'My Debts'!$B$13+1),IF($D36&gt;0,2,'My Debts'!$B$13+1),IF($E36&gt;0,3,'My Debts'!$B$13+1),IF($F36&gt;0,4,'My Debts'!$B$13+1),IF($G36&gt;0,5,'My Debts'!$B$13+1),IF($H36&gt;0,6,'My Debts'!$B$13+1),IF($I36&gt;0,7,'My Debts'!$B$13+1),IF($J36&gt;0,8,'My Debts'!$B$13+1),IF($K36&gt;0,9,'My Debts'!$B$13+1),IF($L36&gt;0,10,'My Debts'!$B$13+1)))</f>
        <v/>
      </c>
    </row>
    <row r="38" ht="18" customHeight="1" s="44">
      <c r="A38" s="42" t="n">
        <v>33</v>
      </c>
      <c r="B38" s="37">
        <f>IF($X37&gt;0,'My Debts'!$B$8,0)</f>
        <v/>
      </c>
      <c r="C38" s="37">
        <f>ROUND(MAX(0,$C37*(1+C$2)-M38),2)</f>
        <v/>
      </c>
      <c r="D38" s="37">
        <f>ROUND(MAX(0,$D37*(1+D$2)-N38),2)</f>
        <v/>
      </c>
      <c r="E38" s="37">
        <f>ROUND(MAX(0,$E37*(1+E$2)-O38),2)</f>
        <v/>
      </c>
      <c r="F38" s="37">
        <f>ROUND(MAX(0,$F37*(1+F$2)-P38),2)</f>
        <v/>
      </c>
      <c r="G38" s="37">
        <f>ROUND(MAX(0,$G37*(1+G$2)-Q38),2)</f>
        <v/>
      </c>
      <c r="H38" s="37">
        <f>ROUND(MAX(0,$H37*(1+H$2)-R38),2)</f>
        <v/>
      </c>
      <c r="I38" s="37">
        <f>ROUND(MAX(0,$I37*(1+I$2)-S38),2)</f>
        <v/>
      </c>
      <c r="J38" s="37">
        <f>ROUND(MAX(0,$J37*(1+J$2)-T38),2)</f>
        <v/>
      </c>
      <c r="K38" s="37">
        <f>ROUND(MAX(0,$K37*(1+K$2)-U38),2)</f>
        <v/>
      </c>
      <c r="L38" s="37">
        <f>ROUND(MAX(0,$L37*(1+L$2)-V38),2)</f>
        <v/>
      </c>
      <c r="M38" s="37">
        <f>IF($C37&lt;=0,0,IF($Y38=1,MIN($C37*(1+C$2),MAX(0,$B38-(IF($D37&gt;0,MIN($N$3,$D37*(1+$D$2)),0)+IF($E37&gt;0,MIN($O$3,$E37*(1+$E$2)),0)+IF($F37&gt;0,MIN($P$3,$F37*(1+$F$2)),0)+IF($G37&gt;0,MIN($Q$3,$G37*(1+$G$2)),0)+IF($H37&gt;0,MIN($R$3,$H37*(1+$H$2)),0)+IF($I37&gt;0,MIN($S$3,$I37*(1+$I$2)),0)+IF($J37&gt;0,MIN($T$3,$J37*(1+$J$2)),0)+IF($K37&gt;0,MIN($U$3,$K37*(1+$K$2)),0)+IF($L37&gt;0,MIN($V$3,$L37*(1+$L$2)),0)))),MIN($M$3,$C37*(1+C$2))))</f>
        <v/>
      </c>
      <c r="N38" s="37">
        <f>IF($D37&lt;=0,0,IF($Y38=2,MIN($D37*(1+D$2),MAX(0,$B38-(IF($C37&gt;0,MIN($M$3,$C37*(1+$C$2)),0)+IF($E37&gt;0,MIN($O$3,$E37*(1+$E$2)),0)+IF($F37&gt;0,MIN($P$3,$F37*(1+$F$2)),0)+IF($G37&gt;0,MIN($Q$3,$G37*(1+$G$2)),0)+IF($H37&gt;0,MIN($R$3,$H37*(1+$H$2)),0)+IF($I37&gt;0,MIN($S$3,$I37*(1+$I$2)),0)+IF($J37&gt;0,MIN($T$3,$J37*(1+$J$2)),0)+IF($K37&gt;0,MIN($U$3,$K37*(1+$K$2)),0)+IF($L37&gt;0,MIN($V$3,$L37*(1+$L$2)),0)))),MIN($N$3,$D37*(1+D$2))))</f>
        <v/>
      </c>
      <c r="O38" s="37">
        <f>IF($E37&lt;=0,0,IF($Y38=3,MIN($E37*(1+E$2),MAX(0,$B38-(IF($C37&gt;0,MIN($M$3,$C37*(1+$C$2)),0)+IF($D37&gt;0,MIN($N$3,$D37*(1+$D$2)),0)+IF($F37&gt;0,MIN($P$3,$F37*(1+$F$2)),0)+IF($G37&gt;0,MIN($Q$3,$G37*(1+$G$2)),0)+IF($H37&gt;0,MIN($R$3,$H37*(1+$H$2)),0)+IF($I37&gt;0,MIN($S$3,$I37*(1+$I$2)),0)+IF($J37&gt;0,MIN($T$3,$J37*(1+$J$2)),0)+IF($K37&gt;0,MIN($U$3,$K37*(1+$K$2)),0)+IF($L37&gt;0,MIN($V$3,$L37*(1+$L$2)),0)))),MIN($O$3,$E37*(1+E$2))))</f>
        <v/>
      </c>
      <c r="P38" s="37">
        <f>IF($F37&lt;=0,0,IF($Y38=4,MIN($F37*(1+F$2),MAX(0,$B38-(IF($C37&gt;0,MIN($M$3,$C37*(1+$C$2)),0)+IF($D37&gt;0,MIN($N$3,$D37*(1+$D$2)),0)+IF($E37&gt;0,MIN($O$3,$E37*(1+$E$2)),0)+IF($G37&gt;0,MIN($Q$3,$G37*(1+$G$2)),0)+IF($H37&gt;0,MIN($R$3,$H37*(1+$H$2)),0)+IF($I37&gt;0,MIN($S$3,$I37*(1+$I$2)),0)+IF($J37&gt;0,MIN($T$3,$J37*(1+$J$2)),0)+IF($K37&gt;0,MIN($U$3,$K37*(1+$K$2)),0)+IF($L37&gt;0,MIN($V$3,$L37*(1+$L$2)),0)))),MIN($P$3,$F37*(1+F$2))))</f>
        <v/>
      </c>
      <c r="Q38" s="37">
        <f>IF($G37&lt;=0,0,IF($Y38=5,MIN($G37*(1+G$2),MAX(0,$B38-(IF($C37&gt;0,MIN($M$3,$C37*(1+$C$2)),0)+IF($D37&gt;0,MIN($N$3,$D37*(1+$D$2)),0)+IF($E37&gt;0,MIN($O$3,$E37*(1+$E$2)),0)+IF($F37&gt;0,MIN($P$3,$F37*(1+$F$2)),0)+IF($H37&gt;0,MIN($R$3,$H37*(1+$H$2)),0)+IF($I37&gt;0,MIN($S$3,$I37*(1+$I$2)),0)+IF($J37&gt;0,MIN($T$3,$J37*(1+$J$2)),0)+IF($K37&gt;0,MIN($U$3,$K37*(1+$K$2)),0)+IF($L37&gt;0,MIN($V$3,$L37*(1+$L$2)),0)))),MIN($Q$3,$G37*(1+G$2))))</f>
        <v/>
      </c>
      <c r="R38" s="37">
        <f>IF($H37&lt;=0,0,IF($Y38=6,MIN($H37*(1+H$2),MAX(0,$B38-(IF($C37&gt;0,MIN($M$3,$C37*(1+$C$2)),0)+IF($D37&gt;0,MIN($N$3,$D37*(1+$D$2)),0)+IF($E37&gt;0,MIN($O$3,$E37*(1+$E$2)),0)+IF($F37&gt;0,MIN($P$3,$F37*(1+$F$2)),0)+IF($G37&gt;0,MIN($Q$3,$G37*(1+$G$2)),0)+IF($I37&gt;0,MIN($S$3,$I37*(1+$I$2)),0)+IF($J37&gt;0,MIN($T$3,$J37*(1+$J$2)),0)+IF($K37&gt;0,MIN($U$3,$K37*(1+$K$2)),0)+IF($L37&gt;0,MIN($V$3,$L37*(1+$L$2)),0)))),MIN($R$3,$H37*(1+H$2))))</f>
        <v/>
      </c>
      <c r="S38" s="37">
        <f>IF($I37&lt;=0,0,IF($Y38=7,MIN($I37*(1+I$2),MAX(0,$B38-(IF($C37&gt;0,MIN($M$3,$C37*(1+$C$2)),0)+IF($D37&gt;0,MIN($N$3,$D37*(1+$D$2)),0)+IF($E37&gt;0,MIN($O$3,$E37*(1+$E$2)),0)+IF($F37&gt;0,MIN($P$3,$F37*(1+$F$2)),0)+IF($G37&gt;0,MIN($Q$3,$G37*(1+$G$2)),0)+IF($H37&gt;0,MIN($R$3,$H37*(1+$H$2)),0)+IF($J37&gt;0,MIN($T$3,$J37*(1+$J$2)),0)+IF($K37&gt;0,MIN($U$3,$K37*(1+$K$2)),0)+IF($L37&gt;0,MIN($V$3,$L37*(1+$L$2)),0)))),MIN($S$3,$I37*(1+I$2))))</f>
        <v/>
      </c>
      <c r="T38" s="37">
        <f>IF($J37&lt;=0,0,IF($Y38=8,MIN($J37*(1+J$2),MAX(0,$B38-(IF($C37&gt;0,MIN($M$3,$C37*(1+$C$2)),0)+IF($D37&gt;0,MIN($N$3,$D37*(1+$D$2)),0)+IF($E37&gt;0,MIN($O$3,$E37*(1+$E$2)),0)+IF($F37&gt;0,MIN($P$3,$F37*(1+$F$2)),0)+IF($G37&gt;0,MIN($Q$3,$G37*(1+$G$2)),0)+IF($H37&gt;0,MIN($R$3,$H37*(1+$H$2)),0)+IF($I37&gt;0,MIN($S$3,$I37*(1+$I$2)),0)+IF($K37&gt;0,MIN($U$3,$K37*(1+$K$2)),0)+IF($L37&gt;0,MIN($V$3,$L37*(1+$L$2)),0)))),MIN($T$3,$J37*(1+J$2))))</f>
        <v/>
      </c>
      <c r="U38" s="37">
        <f>IF($K37&lt;=0,0,IF($Y38=9,MIN($K37*(1+K$2),MAX(0,$B38-(IF($C37&gt;0,MIN($M$3,$C37*(1+$C$2)),0)+IF($D37&gt;0,MIN($N$3,$D37*(1+$D$2)),0)+IF($E37&gt;0,MIN($O$3,$E37*(1+$E$2)),0)+IF($F37&gt;0,MIN($P$3,$F37*(1+$F$2)),0)+IF($G37&gt;0,MIN($Q$3,$G37*(1+$G$2)),0)+IF($H37&gt;0,MIN($R$3,$H37*(1+$H$2)),0)+IF($I37&gt;0,MIN($S$3,$I37*(1+$I$2)),0)+IF($J37&gt;0,MIN($T$3,$J37*(1+$J$2)),0)+IF($L37&gt;0,MIN($V$3,$L37*(1+$L$2)),0)))),MIN($U$3,$K37*(1+K$2))))</f>
        <v/>
      </c>
      <c r="V38" s="37">
        <f>IF($L37&lt;=0,0,IF($Y38=10,MIN($L37*(1+L$2),MAX(0,$B38-(IF($C37&gt;0,MIN($M$3,$C37*(1+$C$2)),0)+IF($D37&gt;0,MIN($N$3,$D37*(1+$D$2)),0)+IF($E37&gt;0,MIN($O$3,$E37*(1+$E$2)),0)+IF($F37&gt;0,MIN($P$3,$F37*(1+$F$2)),0)+IF($G37&gt;0,MIN($Q$3,$G37*(1+$G$2)),0)+IF($H37&gt;0,MIN($R$3,$H37*(1+$H$2)),0)+IF($I37&gt;0,MIN($S$3,$I37*(1+$I$2)),0)+IF($J37&gt;0,MIN($T$3,$J37*(1+$J$2)),0)+IF($K37&gt;0,MIN($U$3,$K37*(1+$K$2)),0)))),MIN($V$3,$L37*(1+L$2))))</f>
        <v/>
      </c>
      <c r="W38" s="37">
        <f>ROUND(SUMPRODUCT($C37:$L37,$C$2:$L$2),2)</f>
        <v/>
      </c>
      <c r="X38" s="37">
        <f>SUM($C38:$L38)</f>
        <v/>
      </c>
      <c r="Y38" s="42">
        <f>IF($X37=0,"",MIN(IF($C37&gt;0,1,'My Debts'!$B$13+1),IF($D37&gt;0,2,'My Debts'!$B$13+1),IF($E37&gt;0,3,'My Debts'!$B$13+1),IF($F37&gt;0,4,'My Debts'!$B$13+1),IF($G37&gt;0,5,'My Debts'!$B$13+1),IF($H37&gt;0,6,'My Debts'!$B$13+1),IF($I37&gt;0,7,'My Debts'!$B$13+1),IF($J37&gt;0,8,'My Debts'!$B$13+1),IF($K37&gt;0,9,'My Debts'!$B$13+1),IF($L37&gt;0,10,'My Debts'!$B$13+1)))</f>
        <v/>
      </c>
    </row>
    <row r="39" ht="18" customHeight="1" s="44">
      <c r="A39" s="42" t="n">
        <v>34</v>
      </c>
      <c r="B39" s="37">
        <f>IF($X38&gt;0,'My Debts'!$B$8,0)</f>
        <v/>
      </c>
      <c r="C39" s="37">
        <f>ROUND(MAX(0,$C38*(1+C$2)-M39),2)</f>
        <v/>
      </c>
      <c r="D39" s="37">
        <f>ROUND(MAX(0,$D38*(1+D$2)-N39),2)</f>
        <v/>
      </c>
      <c r="E39" s="37">
        <f>ROUND(MAX(0,$E38*(1+E$2)-O39),2)</f>
        <v/>
      </c>
      <c r="F39" s="37">
        <f>ROUND(MAX(0,$F38*(1+F$2)-P39),2)</f>
        <v/>
      </c>
      <c r="G39" s="37">
        <f>ROUND(MAX(0,$G38*(1+G$2)-Q39),2)</f>
        <v/>
      </c>
      <c r="H39" s="37">
        <f>ROUND(MAX(0,$H38*(1+H$2)-R39),2)</f>
        <v/>
      </c>
      <c r="I39" s="37">
        <f>ROUND(MAX(0,$I38*(1+I$2)-S39),2)</f>
        <v/>
      </c>
      <c r="J39" s="37">
        <f>ROUND(MAX(0,$J38*(1+J$2)-T39),2)</f>
        <v/>
      </c>
      <c r="K39" s="37">
        <f>ROUND(MAX(0,$K38*(1+K$2)-U39),2)</f>
        <v/>
      </c>
      <c r="L39" s="37">
        <f>ROUND(MAX(0,$L38*(1+L$2)-V39),2)</f>
        <v/>
      </c>
      <c r="M39" s="37">
        <f>IF($C38&lt;=0,0,IF($Y39=1,MIN($C38*(1+C$2),MAX(0,$B39-(IF($D38&gt;0,MIN($N$3,$D38*(1+$D$2)),0)+IF($E38&gt;0,MIN($O$3,$E38*(1+$E$2)),0)+IF($F38&gt;0,MIN($P$3,$F38*(1+$F$2)),0)+IF($G38&gt;0,MIN($Q$3,$G38*(1+$G$2)),0)+IF($H38&gt;0,MIN($R$3,$H38*(1+$H$2)),0)+IF($I38&gt;0,MIN($S$3,$I38*(1+$I$2)),0)+IF($J38&gt;0,MIN($T$3,$J38*(1+$J$2)),0)+IF($K38&gt;0,MIN($U$3,$K38*(1+$K$2)),0)+IF($L38&gt;0,MIN($V$3,$L38*(1+$L$2)),0)))),MIN($M$3,$C38*(1+C$2))))</f>
        <v/>
      </c>
      <c r="N39" s="37">
        <f>IF($D38&lt;=0,0,IF($Y39=2,MIN($D38*(1+D$2),MAX(0,$B39-(IF($C38&gt;0,MIN($M$3,$C38*(1+$C$2)),0)+IF($E38&gt;0,MIN($O$3,$E38*(1+$E$2)),0)+IF($F38&gt;0,MIN($P$3,$F38*(1+$F$2)),0)+IF($G38&gt;0,MIN($Q$3,$G38*(1+$G$2)),0)+IF($H38&gt;0,MIN($R$3,$H38*(1+$H$2)),0)+IF($I38&gt;0,MIN($S$3,$I38*(1+$I$2)),0)+IF($J38&gt;0,MIN($T$3,$J38*(1+$J$2)),0)+IF($K38&gt;0,MIN($U$3,$K38*(1+$K$2)),0)+IF($L38&gt;0,MIN($V$3,$L38*(1+$L$2)),0)))),MIN($N$3,$D38*(1+D$2))))</f>
        <v/>
      </c>
      <c r="O39" s="37">
        <f>IF($E38&lt;=0,0,IF($Y39=3,MIN($E38*(1+E$2),MAX(0,$B39-(IF($C38&gt;0,MIN($M$3,$C38*(1+$C$2)),0)+IF($D38&gt;0,MIN($N$3,$D38*(1+$D$2)),0)+IF($F38&gt;0,MIN($P$3,$F38*(1+$F$2)),0)+IF($G38&gt;0,MIN($Q$3,$G38*(1+$G$2)),0)+IF($H38&gt;0,MIN($R$3,$H38*(1+$H$2)),0)+IF($I38&gt;0,MIN($S$3,$I38*(1+$I$2)),0)+IF($J38&gt;0,MIN($T$3,$J38*(1+$J$2)),0)+IF($K38&gt;0,MIN($U$3,$K38*(1+$K$2)),0)+IF($L38&gt;0,MIN($V$3,$L38*(1+$L$2)),0)))),MIN($O$3,$E38*(1+E$2))))</f>
        <v/>
      </c>
      <c r="P39" s="37">
        <f>IF($F38&lt;=0,0,IF($Y39=4,MIN($F38*(1+F$2),MAX(0,$B39-(IF($C38&gt;0,MIN($M$3,$C38*(1+$C$2)),0)+IF($D38&gt;0,MIN($N$3,$D38*(1+$D$2)),0)+IF($E38&gt;0,MIN($O$3,$E38*(1+$E$2)),0)+IF($G38&gt;0,MIN($Q$3,$G38*(1+$G$2)),0)+IF($H38&gt;0,MIN($R$3,$H38*(1+$H$2)),0)+IF($I38&gt;0,MIN($S$3,$I38*(1+$I$2)),0)+IF($J38&gt;0,MIN($T$3,$J38*(1+$J$2)),0)+IF($K38&gt;0,MIN($U$3,$K38*(1+$K$2)),0)+IF($L38&gt;0,MIN($V$3,$L38*(1+$L$2)),0)))),MIN($P$3,$F38*(1+F$2))))</f>
        <v/>
      </c>
      <c r="Q39" s="37">
        <f>IF($G38&lt;=0,0,IF($Y39=5,MIN($G38*(1+G$2),MAX(0,$B39-(IF($C38&gt;0,MIN($M$3,$C38*(1+$C$2)),0)+IF($D38&gt;0,MIN($N$3,$D38*(1+$D$2)),0)+IF($E38&gt;0,MIN($O$3,$E38*(1+$E$2)),0)+IF($F38&gt;0,MIN($P$3,$F38*(1+$F$2)),0)+IF($H38&gt;0,MIN($R$3,$H38*(1+$H$2)),0)+IF($I38&gt;0,MIN($S$3,$I38*(1+$I$2)),0)+IF($J38&gt;0,MIN($T$3,$J38*(1+$J$2)),0)+IF($K38&gt;0,MIN($U$3,$K38*(1+$K$2)),0)+IF($L38&gt;0,MIN($V$3,$L38*(1+$L$2)),0)))),MIN($Q$3,$G38*(1+G$2))))</f>
        <v/>
      </c>
      <c r="R39" s="37">
        <f>IF($H38&lt;=0,0,IF($Y39=6,MIN($H38*(1+H$2),MAX(0,$B39-(IF($C38&gt;0,MIN($M$3,$C38*(1+$C$2)),0)+IF($D38&gt;0,MIN($N$3,$D38*(1+$D$2)),0)+IF($E38&gt;0,MIN($O$3,$E38*(1+$E$2)),0)+IF($F38&gt;0,MIN($P$3,$F38*(1+$F$2)),0)+IF($G38&gt;0,MIN($Q$3,$G38*(1+$G$2)),0)+IF($I38&gt;0,MIN($S$3,$I38*(1+$I$2)),0)+IF($J38&gt;0,MIN($T$3,$J38*(1+$J$2)),0)+IF($K38&gt;0,MIN($U$3,$K38*(1+$K$2)),0)+IF($L38&gt;0,MIN($V$3,$L38*(1+$L$2)),0)))),MIN($R$3,$H38*(1+H$2))))</f>
        <v/>
      </c>
      <c r="S39" s="37">
        <f>IF($I38&lt;=0,0,IF($Y39=7,MIN($I38*(1+I$2),MAX(0,$B39-(IF($C38&gt;0,MIN($M$3,$C38*(1+$C$2)),0)+IF($D38&gt;0,MIN($N$3,$D38*(1+$D$2)),0)+IF($E38&gt;0,MIN($O$3,$E38*(1+$E$2)),0)+IF($F38&gt;0,MIN($P$3,$F38*(1+$F$2)),0)+IF($G38&gt;0,MIN($Q$3,$G38*(1+$G$2)),0)+IF($H38&gt;0,MIN($R$3,$H38*(1+$H$2)),0)+IF($J38&gt;0,MIN($T$3,$J38*(1+$J$2)),0)+IF($K38&gt;0,MIN($U$3,$K38*(1+$K$2)),0)+IF($L38&gt;0,MIN($V$3,$L38*(1+$L$2)),0)))),MIN($S$3,$I38*(1+I$2))))</f>
        <v/>
      </c>
      <c r="T39" s="37">
        <f>IF($J38&lt;=0,0,IF($Y39=8,MIN($J38*(1+J$2),MAX(0,$B39-(IF($C38&gt;0,MIN($M$3,$C38*(1+$C$2)),0)+IF($D38&gt;0,MIN($N$3,$D38*(1+$D$2)),0)+IF($E38&gt;0,MIN($O$3,$E38*(1+$E$2)),0)+IF($F38&gt;0,MIN($P$3,$F38*(1+$F$2)),0)+IF($G38&gt;0,MIN($Q$3,$G38*(1+$G$2)),0)+IF($H38&gt;0,MIN($R$3,$H38*(1+$H$2)),0)+IF($I38&gt;0,MIN($S$3,$I38*(1+$I$2)),0)+IF($K38&gt;0,MIN($U$3,$K38*(1+$K$2)),0)+IF($L38&gt;0,MIN($V$3,$L38*(1+$L$2)),0)))),MIN($T$3,$J38*(1+J$2))))</f>
        <v/>
      </c>
      <c r="U39" s="37">
        <f>IF($K38&lt;=0,0,IF($Y39=9,MIN($K38*(1+K$2),MAX(0,$B39-(IF($C38&gt;0,MIN($M$3,$C38*(1+$C$2)),0)+IF($D38&gt;0,MIN($N$3,$D38*(1+$D$2)),0)+IF($E38&gt;0,MIN($O$3,$E38*(1+$E$2)),0)+IF($F38&gt;0,MIN($P$3,$F38*(1+$F$2)),0)+IF($G38&gt;0,MIN($Q$3,$G38*(1+$G$2)),0)+IF($H38&gt;0,MIN($R$3,$H38*(1+$H$2)),0)+IF($I38&gt;0,MIN($S$3,$I38*(1+$I$2)),0)+IF($J38&gt;0,MIN($T$3,$J38*(1+$J$2)),0)+IF($L38&gt;0,MIN($V$3,$L38*(1+$L$2)),0)))),MIN($U$3,$K38*(1+K$2))))</f>
        <v/>
      </c>
      <c r="V39" s="37">
        <f>IF($L38&lt;=0,0,IF($Y39=10,MIN($L38*(1+L$2),MAX(0,$B39-(IF($C38&gt;0,MIN($M$3,$C38*(1+$C$2)),0)+IF($D38&gt;0,MIN($N$3,$D38*(1+$D$2)),0)+IF($E38&gt;0,MIN($O$3,$E38*(1+$E$2)),0)+IF($F38&gt;0,MIN($P$3,$F38*(1+$F$2)),0)+IF($G38&gt;0,MIN($Q$3,$G38*(1+$G$2)),0)+IF($H38&gt;0,MIN($R$3,$H38*(1+$H$2)),0)+IF($I38&gt;0,MIN($S$3,$I38*(1+$I$2)),0)+IF($J38&gt;0,MIN($T$3,$J38*(1+$J$2)),0)+IF($K38&gt;0,MIN($U$3,$K38*(1+$K$2)),0)))),MIN($V$3,$L38*(1+L$2))))</f>
        <v/>
      </c>
      <c r="W39" s="37">
        <f>ROUND(SUMPRODUCT($C38:$L38,$C$2:$L$2),2)</f>
        <v/>
      </c>
      <c r="X39" s="37">
        <f>SUM($C39:$L39)</f>
        <v/>
      </c>
      <c r="Y39" s="42">
        <f>IF($X38=0,"",MIN(IF($C38&gt;0,1,'My Debts'!$B$13+1),IF($D38&gt;0,2,'My Debts'!$B$13+1),IF($E38&gt;0,3,'My Debts'!$B$13+1),IF($F38&gt;0,4,'My Debts'!$B$13+1),IF($G38&gt;0,5,'My Debts'!$B$13+1),IF($H38&gt;0,6,'My Debts'!$B$13+1),IF($I38&gt;0,7,'My Debts'!$B$13+1),IF($J38&gt;0,8,'My Debts'!$B$13+1),IF($K38&gt;0,9,'My Debts'!$B$13+1),IF($L38&gt;0,10,'My Debts'!$B$13+1)))</f>
        <v/>
      </c>
    </row>
    <row r="40" ht="18" customHeight="1" s="44">
      <c r="A40" s="42" t="n">
        <v>35</v>
      </c>
      <c r="B40" s="37">
        <f>IF($X39&gt;0,'My Debts'!$B$8,0)</f>
        <v/>
      </c>
      <c r="C40" s="37">
        <f>ROUND(MAX(0,$C39*(1+C$2)-M40),2)</f>
        <v/>
      </c>
      <c r="D40" s="37">
        <f>ROUND(MAX(0,$D39*(1+D$2)-N40),2)</f>
        <v/>
      </c>
      <c r="E40" s="37">
        <f>ROUND(MAX(0,$E39*(1+E$2)-O40),2)</f>
        <v/>
      </c>
      <c r="F40" s="37">
        <f>ROUND(MAX(0,$F39*(1+F$2)-P40),2)</f>
        <v/>
      </c>
      <c r="G40" s="37">
        <f>ROUND(MAX(0,$G39*(1+G$2)-Q40),2)</f>
        <v/>
      </c>
      <c r="H40" s="37">
        <f>ROUND(MAX(0,$H39*(1+H$2)-R40),2)</f>
        <v/>
      </c>
      <c r="I40" s="37">
        <f>ROUND(MAX(0,$I39*(1+I$2)-S40),2)</f>
        <v/>
      </c>
      <c r="J40" s="37">
        <f>ROUND(MAX(0,$J39*(1+J$2)-T40),2)</f>
        <v/>
      </c>
      <c r="K40" s="37">
        <f>ROUND(MAX(0,$K39*(1+K$2)-U40),2)</f>
        <v/>
      </c>
      <c r="L40" s="37">
        <f>ROUND(MAX(0,$L39*(1+L$2)-V40),2)</f>
        <v/>
      </c>
      <c r="M40" s="37">
        <f>IF($C39&lt;=0,0,IF($Y40=1,MIN($C39*(1+C$2),MAX(0,$B40-(IF($D39&gt;0,MIN($N$3,$D39*(1+$D$2)),0)+IF($E39&gt;0,MIN($O$3,$E39*(1+$E$2)),0)+IF($F39&gt;0,MIN($P$3,$F39*(1+$F$2)),0)+IF($G39&gt;0,MIN($Q$3,$G39*(1+$G$2)),0)+IF($H39&gt;0,MIN($R$3,$H39*(1+$H$2)),0)+IF($I39&gt;0,MIN($S$3,$I39*(1+$I$2)),0)+IF($J39&gt;0,MIN($T$3,$J39*(1+$J$2)),0)+IF($K39&gt;0,MIN($U$3,$K39*(1+$K$2)),0)+IF($L39&gt;0,MIN($V$3,$L39*(1+$L$2)),0)))),MIN($M$3,$C39*(1+C$2))))</f>
        <v/>
      </c>
      <c r="N40" s="37">
        <f>IF($D39&lt;=0,0,IF($Y40=2,MIN($D39*(1+D$2),MAX(0,$B40-(IF($C39&gt;0,MIN($M$3,$C39*(1+$C$2)),0)+IF($E39&gt;0,MIN($O$3,$E39*(1+$E$2)),0)+IF($F39&gt;0,MIN($P$3,$F39*(1+$F$2)),0)+IF($G39&gt;0,MIN($Q$3,$G39*(1+$G$2)),0)+IF($H39&gt;0,MIN($R$3,$H39*(1+$H$2)),0)+IF($I39&gt;0,MIN($S$3,$I39*(1+$I$2)),0)+IF($J39&gt;0,MIN($T$3,$J39*(1+$J$2)),0)+IF($K39&gt;0,MIN($U$3,$K39*(1+$K$2)),0)+IF($L39&gt;0,MIN($V$3,$L39*(1+$L$2)),0)))),MIN($N$3,$D39*(1+D$2))))</f>
        <v/>
      </c>
      <c r="O40" s="37">
        <f>IF($E39&lt;=0,0,IF($Y40=3,MIN($E39*(1+E$2),MAX(0,$B40-(IF($C39&gt;0,MIN($M$3,$C39*(1+$C$2)),0)+IF($D39&gt;0,MIN($N$3,$D39*(1+$D$2)),0)+IF($F39&gt;0,MIN($P$3,$F39*(1+$F$2)),0)+IF($G39&gt;0,MIN($Q$3,$G39*(1+$G$2)),0)+IF($H39&gt;0,MIN($R$3,$H39*(1+$H$2)),0)+IF($I39&gt;0,MIN($S$3,$I39*(1+$I$2)),0)+IF($J39&gt;0,MIN($T$3,$J39*(1+$J$2)),0)+IF($K39&gt;0,MIN($U$3,$K39*(1+$K$2)),0)+IF($L39&gt;0,MIN($V$3,$L39*(1+$L$2)),0)))),MIN($O$3,$E39*(1+E$2))))</f>
        <v/>
      </c>
      <c r="P40" s="37">
        <f>IF($F39&lt;=0,0,IF($Y40=4,MIN($F39*(1+F$2),MAX(0,$B40-(IF($C39&gt;0,MIN($M$3,$C39*(1+$C$2)),0)+IF($D39&gt;0,MIN($N$3,$D39*(1+$D$2)),0)+IF($E39&gt;0,MIN($O$3,$E39*(1+$E$2)),0)+IF($G39&gt;0,MIN($Q$3,$G39*(1+$G$2)),0)+IF($H39&gt;0,MIN($R$3,$H39*(1+$H$2)),0)+IF($I39&gt;0,MIN($S$3,$I39*(1+$I$2)),0)+IF($J39&gt;0,MIN($T$3,$J39*(1+$J$2)),0)+IF($K39&gt;0,MIN($U$3,$K39*(1+$K$2)),0)+IF($L39&gt;0,MIN($V$3,$L39*(1+$L$2)),0)))),MIN($P$3,$F39*(1+F$2))))</f>
        <v/>
      </c>
      <c r="Q40" s="37">
        <f>IF($G39&lt;=0,0,IF($Y40=5,MIN($G39*(1+G$2),MAX(0,$B40-(IF($C39&gt;0,MIN($M$3,$C39*(1+$C$2)),0)+IF($D39&gt;0,MIN($N$3,$D39*(1+$D$2)),0)+IF($E39&gt;0,MIN($O$3,$E39*(1+$E$2)),0)+IF($F39&gt;0,MIN($P$3,$F39*(1+$F$2)),0)+IF($H39&gt;0,MIN($R$3,$H39*(1+$H$2)),0)+IF($I39&gt;0,MIN($S$3,$I39*(1+$I$2)),0)+IF($J39&gt;0,MIN($T$3,$J39*(1+$J$2)),0)+IF($K39&gt;0,MIN($U$3,$K39*(1+$K$2)),0)+IF($L39&gt;0,MIN($V$3,$L39*(1+$L$2)),0)))),MIN($Q$3,$G39*(1+G$2))))</f>
        <v/>
      </c>
      <c r="R40" s="37">
        <f>IF($H39&lt;=0,0,IF($Y40=6,MIN($H39*(1+H$2),MAX(0,$B40-(IF($C39&gt;0,MIN($M$3,$C39*(1+$C$2)),0)+IF($D39&gt;0,MIN($N$3,$D39*(1+$D$2)),0)+IF($E39&gt;0,MIN($O$3,$E39*(1+$E$2)),0)+IF($F39&gt;0,MIN($P$3,$F39*(1+$F$2)),0)+IF($G39&gt;0,MIN($Q$3,$G39*(1+$G$2)),0)+IF($I39&gt;0,MIN($S$3,$I39*(1+$I$2)),0)+IF($J39&gt;0,MIN($T$3,$J39*(1+$J$2)),0)+IF($K39&gt;0,MIN($U$3,$K39*(1+$K$2)),0)+IF($L39&gt;0,MIN($V$3,$L39*(1+$L$2)),0)))),MIN($R$3,$H39*(1+H$2))))</f>
        <v/>
      </c>
      <c r="S40" s="37">
        <f>IF($I39&lt;=0,0,IF($Y40=7,MIN($I39*(1+I$2),MAX(0,$B40-(IF($C39&gt;0,MIN($M$3,$C39*(1+$C$2)),0)+IF($D39&gt;0,MIN($N$3,$D39*(1+$D$2)),0)+IF($E39&gt;0,MIN($O$3,$E39*(1+$E$2)),0)+IF($F39&gt;0,MIN($P$3,$F39*(1+$F$2)),0)+IF($G39&gt;0,MIN($Q$3,$G39*(1+$G$2)),0)+IF($H39&gt;0,MIN($R$3,$H39*(1+$H$2)),0)+IF($J39&gt;0,MIN($T$3,$J39*(1+$J$2)),0)+IF($K39&gt;0,MIN($U$3,$K39*(1+$K$2)),0)+IF($L39&gt;0,MIN($V$3,$L39*(1+$L$2)),0)))),MIN($S$3,$I39*(1+I$2))))</f>
        <v/>
      </c>
      <c r="T40" s="37">
        <f>IF($J39&lt;=0,0,IF($Y40=8,MIN($J39*(1+J$2),MAX(0,$B40-(IF($C39&gt;0,MIN($M$3,$C39*(1+$C$2)),0)+IF($D39&gt;0,MIN($N$3,$D39*(1+$D$2)),0)+IF($E39&gt;0,MIN($O$3,$E39*(1+$E$2)),0)+IF($F39&gt;0,MIN($P$3,$F39*(1+$F$2)),0)+IF($G39&gt;0,MIN($Q$3,$G39*(1+$G$2)),0)+IF($H39&gt;0,MIN($R$3,$H39*(1+$H$2)),0)+IF($I39&gt;0,MIN($S$3,$I39*(1+$I$2)),0)+IF($K39&gt;0,MIN($U$3,$K39*(1+$K$2)),0)+IF($L39&gt;0,MIN($V$3,$L39*(1+$L$2)),0)))),MIN($T$3,$J39*(1+J$2))))</f>
        <v/>
      </c>
      <c r="U40" s="37">
        <f>IF($K39&lt;=0,0,IF($Y40=9,MIN($K39*(1+K$2),MAX(0,$B40-(IF($C39&gt;0,MIN($M$3,$C39*(1+$C$2)),0)+IF($D39&gt;0,MIN($N$3,$D39*(1+$D$2)),0)+IF($E39&gt;0,MIN($O$3,$E39*(1+$E$2)),0)+IF($F39&gt;0,MIN($P$3,$F39*(1+$F$2)),0)+IF($G39&gt;0,MIN($Q$3,$G39*(1+$G$2)),0)+IF($H39&gt;0,MIN($R$3,$H39*(1+$H$2)),0)+IF($I39&gt;0,MIN($S$3,$I39*(1+$I$2)),0)+IF($J39&gt;0,MIN($T$3,$J39*(1+$J$2)),0)+IF($L39&gt;0,MIN($V$3,$L39*(1+$L$2)),0)))),MIN($U$3,$K39*(1+K$2))))</f>
        <v/>
      </c>
      <c r="V40" s="37">
        <f>IF($L39&lt;=0,0,IF($Y40=10,MIN($L39*(1+L$2),MAX(0,$B40-(IF($C39&gt;0,MIN($M$3,$C39*(1+$C$2)),0)+IF($D39&gt;0,MIN($N$3,$D39*(1+$D$2)),0)+IF($E39&gt;0,MIN($O$3,$E39*(1+$E$2)),0)+IF($F39&gt;0,MIN($P$3,$F39*(1+$F$2)),0)+IF($G39&gt;0,MIN($Q$3,$G39*(1+$G$2)),0)+IF($H39&gt;0,MIN($R$3,$H39*(1+$H$2)),0)+IF($I39&gt;0,MIN($S$3,$I39*(1+$I$2)),0)+IF($J39&gt;0,MIN($T$3,$J39*(1+$J$2)),0)+IF($K39&gt;0,MIN($U$3,$K39*(1+$K$2)),0)))),MIN($V$3,$L39*(1+L$2))))</f>
        <v/>
      </c>
      <c r="W40" s="37">
        <f>ROUND(SUMPRODUCT($C39:$L39,$C$2:$L$2),2)</f>
        <v/>
      </c>
      <c r="X40" s="37">
        <f>SUM($C40:$L40)</f>
        <v/>
      </c>
      <c r="Y40" s="42">
        <f>IF($X39=0,"",MIN(IF($C39&gt;0,1,'My Debts'!$B$13+1),IF($D39&gt;0,2,'My Debts'!$B$13+1),IF($E39&gt;0,3,'My Debts'!$B$13+1),IF($F39&gt;0,4,'My Debts'!$B$13+1),IF($G39&gt;0,5,'My Debts'!$B$13+1),IF($H39&gt;0,6,'My Debts'!$B$13+1),IF($I39&gt;0,7,'My Debts'!$B$13+1),IF($J39&gt;0,8,'My Debts'!$B$13+1),IF($K39&gt;0,9,'My Debts'!$B$13+1),IF($L39&gt;0,10,'My Debts'!$B$13+1)))</f>
        <v/>
      </c>
    </row>
    <row r="41" ht="18" customHeight="1" s="44">
      <c r="A41" s="42" t="n">
        <v>36</v>
      </c>
      <c r="B41" s="37">
        <f>IF($X40&gt;0,'My Debts'!$B$8,0)</f>
        <v/>
      </c>
      <c r="C41" s="37">
        <f>ROUND(MAX(0,$C40*(1+C$2)-M41),2)</f>
        <v/>
      </c>
      <c r="D41" s="37">
        <f>ROUND(MAX(0,$D40*(1+D$2)-N41),2)</f>
        <v/>
      </c>
      <c r="E41" s="37">
        <f>ROUND(MAX(0,$E40*(1+E$2)-O41),2)</f>
        <v/>
      </c>
      <c r="F41" s="37">
        <f>ROUND(MAX(0,$F40*(1+F$2)-P41),2)</f>
        <v/>
      </c>
      <c r="G41" s="37">
        <f>ROUND(MAX(0,$G40*(1+G$2)-Q41),2)</f>
        <v/>
      </c>
      <c r="H41" s="37">
        <f>ROUND(MAX(0,$H40*(1+H$2)-R41),2)</f>
        <v/>
      </c>
      <c r="I41" s="37">
        <f>ROUND(MAX(0,$I40*(1+I$2)-S41),2)</f>
        <v/>
      </c>
      <c r="J41" s="37">
        <f>ROUND(MAX(0,$J40*(1+J$2)-T41),2)</f>
        <v/>
      </c>
      <c r="K41" s="37">
        <f>ROUND(MAX(0,$K40*(1+K$2)-U41),2)</f>
        <v/>
      </c>
      <c r="L41" s="37">
        <f>ROUND(MAX(0,$L40*(1+L$2)-V41),2)</f>
        <v/>
      </c>
      <c r="M41" s="37">
        <f>IF($C40&lt;=0,0,IF($Y41=1,MIN($C40*(1+C$2),MAX(0,$B41-(IF($D40&gt;0,MIN($N$3,$D40*(1+$D$2)),0)+IF($E40&gt;0,MIN($O$3,$E40*(1+$E$2)),0)+IF($F40&gt;0,MIN($P$3,$F40*(1+$F$2)),0)+IF($G40&gt;0,MIN($Q$3,$G40*(1+$G$2)),0)+IF($H40&gt;0,MIN($R$3,$H40*(1+$H$2)),0)+IF($I40&gt;0,MIN($S$3,$I40*(1+$I$2)),0)+IF($J40&gt;0,MIN($T$3,$J40*(1+$J$2)),0)+IF($K40&gt;0,MIN($U$3,$K40*(1+$K$2)),0)+IF($L40&gt;0,MIN($V$3,$L40*(1+$L$2)),0)))),MIN($M$3,$C40*(1+C$2))))</f>
        <v/>
      </c>
      <c r="N41" s="37">
        <f>IF($D40&lt;=0,0,IF($Y41=2,MIN($D40*(1+D$2),MAX(0,$B41-(IF($C40&gt;0,MIN($M$3,$C40*(1+$C$2)),0)+IF($E40&gt;0,MIN($O$3,$E40*(1+$E$2)),0)+IF($F40&gt;0,MIN($P$3,$F40*(1+$F$2)),0)+IF($G40&gt;0,MIN($Q$3,$G40*(1+$G$2)),0)+IF($H40&gt;0,MIN($R$3,$H40*(1+$H$2)),0)+IF($I40&gt;0,MIN($S$3,$I40*(1+$I$2)),0)+IF($J40&gt;0,MIN($T$3,$J40*(1+$J$2)),0)+IF($K40&gt;0,MIN($U$3,$K40*(1+$K$2)),0)+IF($L40&gt;0,MIN($V$3,$L40*(1+$L$2)),0)))),MIN($N$3,$D40*(1+D$2))))</f>
        <v/>
      </c>
      <c r="O41" s="37">
        <f>IF($E40&lt;=0,0,IF($Y41=3,MIN($E40*(1+E$2),MAX(0,$B41-(IF($C40&gt;0,MIN($M$3,$C40*(1+$C$2)),0)+IF($D40&gt;0,MIN($N$3,$D40*(1+$D$2)),0)+IF($F40&gt;0,MIN($P$3,$F40*(1+$F$2)),0)+IF($G40&gt;0,MIN($Q$3,$G40*(1+$G$2)),0)+IF($H40&gt;0,MIN($R$3,$H40*(1+$H$2)),0)+IF($I40&gt;0,MIN($S$3,$I40*(1+$I$2)),0)+IF($J40&gt;0,MIN($T$3,$J40*(1+$J$2)),0)+IF($K40&gt;0,MIN($U$3,$K40*(1+$K$2)),0)+IF($L40&gt;0,MIN($V$3,$L40*(1+$L$2)),0)))),MIN($O$3,$E40*(1+E$2))))</f>
        <v/>
      </c>
      <c r="P41" s="37">
        <f>IF($F40&lt;=0,0,IF($Y41=4,MIN($F40*(1+F$2),MAX(0,$B41-(IF($C40&gt;0,MIN($M$3,$C40*(1+$C$2)),0)+IF($D40&gt;0,MIN($N$3,$D40*(1+$D$2)),0)+IF($E40&gt;0,MIN($O$3,$E40*(1+$E$2)),0)+IF($G40&gt;0,MIN($Q$3,$G40*(1+$G$2)),0)+IF($H40&gt;0,MIN($R$3,$H40*(1+$H$2)),0)+IF($I40&gt;0,MIN($S$3,$I40*(1+$I$2)),0)+IF($J40&gt;0,MIN($T$3,$J40*(1+$J$2)),0)+IF($K40&gt;0,MIN($U$3,$K40*(1+$K$2)),0)+IF($L40&gt;0,MIN($V$3,$L40*(1+$L$2)),0)))),MIN($P$3,$F40*(1+F$2))))</f>
        <v/>
      </c>
      <c r="Q41" s="37">
        <f>IF($G40&lt;=0,0,IF($Y41=5,MIN($G40*(1+G$2),MAX(0,$B41-(IF($C40&gt;0,MIN($M$3,$C40*(1+$C$2)),0)+IF($D40&gt;0,MIN($N$3,$D40*(1+$D$2)),0)+IF($E40&gt;0,MIN($O$3,$E40*(1+$E$2)),0)+IF($F40&gt;0,MIN($P$3,$F40*(1+$F$2)),0)+IF($H40&gt;0,MIN($R$3,$H40*(1+$H$2)),0)+IF($I40&gt;0,MIN($S$3,$I40*(1+$I$2)),0)+IF($J40&gt;0,MIN($T$3,$J40*(1+$J$2)),0)+IF($K40&gt;0,MIN($U$3,$K40*(1+$K$2)),0)+IF($L40&gt;0,MIN($V$3,$L40*(1+$L$2)),0)))),MIN($Q$3,$G40*(1+G$2))))</f>
        <v/>
      </c>
      <c r="R41" s="37">
        <f>IF($H40&lt;=0,0,IF($Y41=6,MIN($H40*(1+H$2),MAX(0,$B41-(IF($C40&gt;0,MIN($M$3,$C40*(1+$C$2)),0)+IF($D40&gt;0,MIN($N$3,$D40*(1+$D$2)),0)+IF($E40&gt;0,MIN($O$3,$E40*(1+$E$2)),0)+IF($F40&gt;0,MIN($P$3,$F40*(1+$F$2)),0)+IF($G40&gt;0,MIN($Q$3,$G40*(1+$G$2)),0)+IF($I40&gt;0,MIN($S$3,$I40*(1+$I$2)),0)+IF($J40&gt;0,MIN($T$3,$J40*(1+$J$2)),0)+IF($K40&gt;0,MIN($U$3,$K40*(1+$K$2)),0)+IF($L40&gt;0,MIN($V$3,$L40*(1+$L$2)),0)))),MIN($R$3,$H40*(1+H$2))))</f>
        <v/>
      </c>
      <c r="S41" s="37">
        <f>IF($I40&lt;=0,0,IF($Y41=7,MIN($I40*(1+I$2),MAX(0,$B41-(IF($C40&gt;0,MIN($M$3,$C40*(1+$C$2)),0)+IF($D40&gt;0,MIN($N$3,$D40*(1+$D$2)),0)+IF($E40&gt;0,MIN($O$3,$E40*(1+$E$2)),0)+IF($F40&gt;0,MIN($P$3,$F40*(1+$F$2)),0)+IF($G40&gt;0,MIN($Q$3,$G40*(1+$G$2)),0)+IF($H40&gt;0,MIN($R$3,$H40*(1+$H$2)),0)+IF($J40&gt;0,MIN($T$3,$J40*(1+$J$2)),0)+IF($K40&gt;0,MIN($U$3,$K40*(1+$K$2)),0)+IF($L40&gt;0,MIN($V$3,$L40*(1+$L$2)),0)))),MIN($S$3,$I40*(1+I$2))))</f>
        <v/>
      </c>
      <c r="T41" s="37">
        <f>IF($J40&lt;=0,0,IF($Y41=8,MIN($J40*(1+J$2),MAX(0,$B41-(IF($C40&gt;0,MIN($M$3,$C40*(1+$C$2)),0)+IF($D40&gt;0,MIN($N$3,$D40*(1+$D$2)),0)+IF($E40&gt;0,MIN($O$3,$E40*(1+$E$2)),0)+IF($F40&gt;0,MIN($P$3,$F40*(1+$F$2)),0)+IF($G40&gt;0,MIN($Q$3,$G40*(1+$G$2)),0)+IF($H40&gt;0,MIN($R$3,$H40*(1+$H$2)),0)+IF($I40&gt;0,MIN($S$3,$I40*(1+$I$2)),0)+IF($K40&gt;0,MIN($U$3,$K40*(1+$K$2)),0)+IF($L40&gt;0,MIN($V$3,$L40*(1+$L$2)),0)))),MIN($T$3,$J40*(1+J$2))))</f>
        <v/>
      </c>
      <c r="U41" s="37">
        <f>IF($K40&lt;=0,0,IF($Y41=9,MIN($K40*(1+K$2),MAX(0,$B41-(IF($C40&gt;0,MIN($M$3,$C40*(1+$C$2)),0)+IF($D40&gt;0,MIN($N$3,$D40*(1+$D$2)),0)+IF($E40&gt;0,MIN($O$3,$E40*(1+$E$2)),0)+IF($F40&gt;0,MIN($P$3,$F40*(1+$F$2)),0)+IF($G40&gt;0,MIN($Q$3,$G40*(1+$G$2)),0)+IF($H40&gt;0,MIN($R$3,$H40*(1+$H$2)),0)+IF($I40&gt;0,MIN($S$3,$I40*(1+$I$2)),0)+IF($J40&gt;0,MIN($T$3,$J40*(1+$J$2)),0)+IF($L40&gt;0,MIN($V$3,$L40*(1+$L$2)),0)))),MIN($U$3,$K40*(1+K$2))))</f>
        <v/>
      </c>
      <c r="V41" s="37">
        <f>IF($L40&lt;=0,0,IF($Y41=10,MIN($L40*(1+L$2),MAX(0,$B41-(IF($C40&gt;0,MIN($M$3,$C40*(1+$C$2)),0)+IF($D40&gt;0,MIN($N$3,$D40*(1+$D$2)),0)+IF($E40&gt;0,MIN($O$3,$E40*(1+$E$2)),0)+IF($F40&gt;0,MIN($P$3,$F40*(1+$F$2)),0)+IF($G40&gt;0,MIN($Q$3,$G40*(1+$G$2)),0)+IF($H40&gt;0,MIN($R$3,$H40*(1+$H$2)),0)+IF($I40&gt;0,MIN($S$3,$I40*(1+$I$2)),0)+IF($J40&gt;0,MIN($T$3,$J40*(1+$J$2)),0)+IF($K40&gt;0,MIN($U$3,$K40*(1+$K$2)),0)))),MIN($V$3,$L40*(1+L$2))))</f>
        <v/>
      </c>
      <c r="W41" s="37">
        <f>ROUND(SUMPRODUCT($C40:$L40,$C$2:$L$2),2)</f>
        <v/>
      </c>
      <c r="X41" s="37">
        <f>SUM($C41:$L41)</f>
        <v/>
      </c>
      <c r="Y41" s="42">
        <f>IF($X40=0,"",MIN(IF($C40&gt;0,1,'My Debts'!$B$13+1),IF($D40&gt;0,2,'My Debts'!$B$13+1),IF($E40&gt;0,3,'My Debts'!$B$13+1),IF($F40&gt;0,4,'My Debts'!$B$13+1),IF($G40&gt;0,5,'My Debts'!$B$13+1),IF($H40&gt;0,6,'My Debts'!$B$13+1),IF($I40&gt;0,7,'My Debts'!$B$13+1),IF($J40&gt;0,8,'My Debts'!$B$13+1),IF($K40&gt;0,9,'My Debts'!$B$13+1),IF($L40&gt;0,10,'My Debts'!$B$13+1)))</f>
        <v/>
      </c>
    </row>
    <row r="42" ht="18" customHeight="1" s="44">
      <c r="A42" s="42" t="n">
        <v>37</v>
      </c>
      <c r="B42" s="37">
        <f>IF($X41&gt;0,'My Debts'!$B$8,0)</f>
        <v/>
      </c>
      <c r="C42" s="37">
        <f>ROUND(MAX(0,$C41*(1+C$2)-M42),2)</f>
        <v/>
      </c>
      <c r="D42" s="37">
        <f>ROUND(MAX(0,$D41*(1+D$2)-N42),2)</f>
        <v/>
      </c>
      <c r="E42" s="37">
        <f>ROUND(MAX(0,$E41*(1+E$2)-O42),2)</f>
        <v/>
      </c>
      <c r="F42" s="37">
        <f>ROUND(MAX(0,$F41*(1+F$2)-P42),2)</f>
        <v/>
      </c>
      <c r="G42" s="37">
        <f>ROUND(MAX(0,$G41*(1+G$2)-Q42),2)</f>
        <v/>
      </c>
      <c r="H42" s="37">
        <f>ROUND(MAX(0,$H41*(1+H$2)-R42),2)</f>
        <v/>
      </c>
      <c r="I42" s="37">
        <f>ROUND(MAX(0,$I41*(1+I$2)-S42),2)</f>
        <v/>
      </c>
      <c r="J42" s="37">
        <f>ROUND(MAX(0,$J41*(1+J$2)-T42),2)</f>
        <v/>
      </c>
      <c r="K42" s="37">
        <f>ROUND(MAX(0,$K41*(1+K$2)-U42),2)</f>
        <v/>
      </c>
      <c r="L42" s="37">
        <f>ROUND(MAX(0,$L41*(1+L$2)-V42),2)</f>
        <v/>
      </c>
      <c r="M42" s="37">
        <f>IF($C41&lt;=0,0,IF($Y42=1,MIN($C41*(1+C$2),MAX(0,$B42-(IF($D41&gt;0,MIN($N$3,$D41*(1+$D$2)),0)+IF($E41&gt;0,MIN($O$3,$E41*(1+$E$2)),0)+IF($F41&gt;0,MIN($P$3,$F41*(1+$F$2)),0)+IF($G41&gt;0,MIN($Q$3,$G41*(1+$G$2)),0)+IF($H41&gt;0,MIN($R$3,$H41*(1+$H$2)),0)+IF($I41&gt;0,MIN($S$3,$I41*(1+$I$2)),0)+IF($J41&gt;0,MIN($T$3,$J41*(1+$J$2)),0)+IF($K41&gt;0,MIN($U$3,$K41*(1+$K$2)),0)+IF($L41&gt;0,MIN($V$3,$L41*(1+$L$2)),0)))),MIN($M$3,$C41*(1+C$2))))</f>
        <v/>
      </c>
      <c r="N42" s="37">
        <f>IF($D41&lt;=0,0,IF($Y42=2,MIN($D41*(1+D$2),MAX(0,$B42-(IF($C41&gt;0,MIN($M$3,$C41*(1+$C$2)),0)+IF($E41&gt;0,MIN($O$3,$E41*(1+$E$2)),0)+IF($F41&gt;0,MIN($P$3,$F41*(1+$F$2)),0)+IF($G41&gt;0,MIN($Q$3,$G41*(1+$G$2)),0)+IF($H41&gt;0,MIN($R$3,$H41*(1+$H$2)),0)+IF($I41&gt;0,MIN($S$3,$I41*(1+$I$2)),0)+IF($J41&gt;0,MIN($T$3,$J41*(1+$J$2)),0)+IF($K41&gt;0,MIN($U$3,$K41*(1+$K$2)),0)+IF($L41&gt;0,MIN($V$3,$L41*(1+$L$2)),0)))),MIN($N$3,$D41*(1+D$2))))</f>
        <v/>
      </c>
      <c r="O42" s="37">
        <f>IF($E41&lt;=0,0,IF($Y42=3,MIN($E41*(1+E$2),MAX(0,$B42-(IF($C41&gt;0,MIN($M$3,$C41*(1+$C$2)),0)+IF($D41&gt;0,MIN($N$3,$D41*(1+$D$2)),0)+IF($F41&gt;0,MIN($P$3,$F41*(1+$F$2)),0)+IF($G41&gt;0,MIN($Q$3,$G41*(1+$G$2)),0)+IF($H41&gt;0,MIN($R$3,$H41*(1+$H$2)),0)+IF($I41&gt;0,MIN($S$3,$I41*(1+$I$2)),0)+IF($J41&gt;0,MIN($T$3,$J41*(1+$J$2)),0)+IF($K41&gt;0,MIN($U$3,$K41*(1+$K$2)),0)+IF($L41&gt;0,MIN($V$3,$L41*(1+$L$2)),0)))),MIN($O$3,$E41*(1+E$2))))</f>
        <v/>
      </c>
      <c r="P42" s="37">
        <f>IF($F41&lt;=0,0,IF($Y42=4,MIN($F41*(1+F$2),MAX(0,$B42-(IF($C41&gt;0,MIN($M$3,$C41*(1+$C$2)),0)+IF($D41&gt;0,MIN($N$3,$D41*(1+$D$2)),0)+IF($E41&gt;0,MIN($O$3,$E41*(1+$E$2)),0)+IF($G41&gt;0,MIN($Q$3,$G41*(1+$G$2)),0)+IF($H41&gt;0,MIN($R$3,$H41*(1+$H$2)),0)+IF($I41&gt;0,MIN($S$3,$I41*(1+$I$2)),0)+IF($J41&gt;0,MIN($T$3,$J41*(1+$J$2)),0)+IF($K41&gt;0,MIN($U$3,$K41*(1+$K$2)),0)+IF($L41&gt;0,MIN($V$3,$L41*(1+$L$2)),0)))),MIN($P$3,$F41*(1+F$2))))</f>
        <v/>
      </c>
      <c r="Q42" s="37">
        <f>IF($G41&lt;=0,0,IF($Y42=5,MIN($G41*(1+G$2),MAX(0,$B42-(IF($C41&gt;0,MIN($M$3,$C41*(1+$C$2)),0)+IF($D41&gt;0,MIN($N$3,$D41*(1+$D$2)),0)+IF($E41&gt;0,MIN($O$3,$E41*(1+$E$2)),0)+IF($F41&gt;0,MIN($P$3,$F41*(1+$F$2)),0)+IF($H41&gt;0,MIN($R$3,$H41*(1+$H$2)),0)+IF($I41&gt;0,MIN($S$3,$I41*(1+$I$2)),0)+IF($J41&gt;0,MIN($T$3,$J41*(1+$J$2)),0)+IF($K41&gt;0,MIN($U$3,$K41*(1+$K$2)),0)+IF($L41&gt;0,MIN($V$3,$L41*(1+$L$2)),0)))),MIN($Q$3,$G41*(1+G$2))))</f>
        <v/>
      </c>
      <c r="R42" s="37">
        <f>IF($H41&lt;=0,0,IF($Y42=6,MIN($H41*(1+H$2),MAX(0,$B42-(IF($C41&gt;0,MIN($M$3,$C41*(1+$C$2)),0)+IF($D41&gt;0,MIN($N$3,$D41*(1+$D$2)),0)+IF($E41&gt;0,MIN($O$3,$E41*(1+$E$2)),0)+IF($F41&gt;0,MIN($P$3,$F41*(1+$F$2)),0)+IF($G41&gt;0,MIN($Q$3,$G41*(1+$G$2)),0)+IF($I41&gt;0,MIN($S$3,$I41*(1+$I$2)),0)+IF($J41&gt;0,MIN($T$3,$J41*(1+$J$2)),0)+IF($K41&gt;0,MIN($U$3,$K41*(1+$K$2)),0)+IF($L41&gt;0,MIN($V$3,$L41*(1+$L$2)),0)))),MIN($R$3,$H41*(1+H$2))))</f>
        <v/>
      </c>
      <c r="S42" s="37">
        <f>IF($I41&lt;=0,0,IF($Y42=7,MIN($I41*(1+I$2),MAX(0,$B42-(IF($C41&gt;0,MIN($M$3,$C41*(1+$C$2)),0)+IF($D41&gt;0,MIN($N$3,$D41*(1+$D$2)),0)+IF($E41&gt;0,MIN($O$3,$E41*(1+$E$2)),0)+IF($F41&gt;0,MIN($P$3,$F41*(1+$F$2)),0)+IF($G41&gt;0,MIN($Q$3,$G41*(1+$G$2)),0)+IF($H41&gt;0,MIN($R$3,$H41*(1+$H$2)),0)+IF($J41&gt;0,MIN($T$3,$J41*(1+$J$2)),0)+IF($K41&gt;0,MIN($U$3,$K41*(1+$K$2)),0)+IF($L41&gt;0,MIN($V$3,$L41*(1+$L$2)),0)))),MIN($S$3,$I41*(1+I$2))))</f>
        <v/>
      </c>
      <c r="T42" s="37">
        <f>IF($J41&lt;=0,0,IF($Y42=8,MIN($J41*(1+J$2),MAX(0,$B42-(IF($C41&gt;0,MIN($M$3,$C41*(1+$C$2)),0)+IF($D41&gt;0,MIN($N$3,$D41*(1+$D$2)),0)+IF($E41&gt;0,MIN($O$3,$E41*(1+$E$2)),0)+IF($F41&gt;0,MIN($P$3,$F41*(1+$F$2)),0)+IF($G41&gt;0,MIN($Q$3,$G41*(1+$G$2)),0)+IF($H41&gt;0,MIN($R$3,$H41*(1+$H$2)),0)+IF($I41&gt;0,MIN($S$3,$I41*(1+$I$2)),0)+IF($K41&gt;0,MIN($U$3,$K41*(1+$K$2)),0)+IF($L41&gt;0,MIN($V$3,$L41*(1+$L$2)),0)))),MIN($T$3,$J41*(1+J$2))))</f>
        <v/>
      </c>
      <c r="U42" s="37">
        <f>IF($K41&lt;=0,0,IF($Y42=9,MIN($K41*(1+K$2),MAX(0,$B42-(IF($C41&gt;0,MIN($M$3,$C41*(1+$C$2)),0)+IF($D41&gt;0,MIN($N$3,$D41*(1+$D$2)),0)+IF($E41&gt;0,MIN($O$3,$E41*(1+$E$2)),0)+IF($F41&gt;0,MIN($P$3,$F41*(1+$F$2)),0)+IF($G41&gt;0,MIN($Q$3,$G41*(1+$G$2)),0)+IF($H41&gt;0,MIN($R$3,$H41*(1+$H$2)),0)+IF($I41&gt;0,MIN($S$3,$I41*(1+$I$2)),0)+IF($J41&gt;0,MIN($T$3,$J41*(1+$J$2)),0)+IF($L41&gt;0,MIN($V$3,$L41*(1+$L$2)),0)))),MIN($U$3,$K41*(1+K$2))))</f>
        <v/>
      </c>
      <c r="V42" s="37">
        <f>IF($L41&lt;=0,0,IF($Y42=10,MIN($L41*(1+L$2),MAX(0,$B42-(IF($C41&gt;0,MIN($M$3,$C41*(1+$C$2)),0)+IF($D41&gt;0,MIN($N$3,$D41*(1+$D$2)),0)+IF($E41&gt;0,MIN($O$3,$E41*(1+$E$2)),0)+IF($F41&gt;0,MIN($P$3,$F41*(1+$F$2)),0)+IF($G41&gt;0,MIN($Q$3,$G41*(1+$G$2)),0)+IF($H41&gt;0,MIN($R$3,$H41*(1+$H$2)),0)+IF($I41&gt;0,MIN($S$3,$I41*(1+$I$2)),0)+IF($J41&gt;0,MIN($T$3,$J41*(1+$J$2)),0)+IF($K41&gt;0,MIN($U$3,$K41*(1+$K$2)),0)))),MIN($V$3,$L41*(1+L$2))))</f>
        <v/>
      </c>
      <c r="W42" s="37">
        <f>ROUND(SUMPRODUCT($C41:$L41,$C$2:$L$2),2)</f>
        <v/>
      </c>
      <c r="X42" s="37">
        <f>SUM($C42:$L42)</f>
        <v/>
      </c>
      <c r="Y42" s="42">
        <f>IF($X41=0,"",MIN(IF($C41&gt;0,1,'My Debts'!$B$13+1),IF($D41&gt;0,2,'My Debts'!$B$13+1),IF($E41&gt;0,3,'My Debts'!$B$13+1),IF($F41&gt;0,4,'My Debts'!$B$13+1),IF($G41&gt;0,5,'My Debts'!$B$13+1),IF($H41&gt;0,6,'My Debts'!$B$13+1),IF($I41&gt;0,7,'My Debts'!$B$13+1),IF($J41&gt;0,8,'My Debts'!$B$13+1),IF($K41&gt;0,9,'My Debts'!$B$13+1),IF($L41&gt;0,10,'My Debts'!$B$13+1)))</f>
        <v/>
      </c>
    </row>
    <row r="43" ht="18" customHeight="1" s="44">
      <c r="A43" s="42" t="n">
        <v>38</v>
      </c>
      <c r="B43" s="37">
        <f>IF($X42&gt;0,'My Debts'!$B$8,0)</f>
        <v/>
      </c>
      <c r="C43" s="37">
        <f>ROUND(MAX(0,$C42*(1+C$2)-M43),2)</f>
        <v/>
      </c>
      <c r="D43" s="37">
        <f>ROUND(MAX(0,$D42*(1+D$2)-N43),2)</f>
        <v/>
      </c>
      <c r="E43" s="37">
        <f>ROUND(MAX(0,$E42*(1+E$2)-O43),2)</f>
        <v/>
      </c>
      <c r="F43" s="37">
        <f>ROUND(MAX(0,$F42*(1+F$2)-P43),2)</f>
        <v/>
      </c>
      <c r="G43" s="37">
        <f>ROUND(MAX(0,$G42*(1+G$2)-Q43),2)</f>
        <v/>
      </c>
      <c r="H43" s="37">
        <f>ROUND(MAX(0,$H42*(1+H$2)-R43),2)</f>
        <v/>
      </c>
      <c r="I43" s="37">
        <f>ROUND(MAX(0,$I42*(1+I$2)-S43),2)</f>
        <v/>
      </c>
      <c r="J43" s="37">
        <f>ROUND(MAX(0,$J42*(1+J$2)-T43),2)</f>
        <v/>
      </c>
      <c r="K43" s="37">
        <f>ROUND(MAX(0,$K42*(1+K$2)-U43),2)</f>
        <v/>
      </c>
      <c r="L43" s="37">
        <f>ROUND(MAX(0,$L42*(1+L$2)-V43),2)</f>
        <v/>
      </c>
      <c r="M43" s="37">
        <f>IF($C42&lt;=0,0,IF($Y43=1,MIN($C42*(1+C$2),MAX(0,$B43-(IF($D42&gt;0,MIN($N$3,$D42*(1+$D$2)),0)+IF($E42&gt;0,MIN($O$3,$E42*(1+$E$2)),0)+IF($F42&gt;0,MIN($P$3,$F42*(1+$F$2)),0)+IF($G42&gt;0,MIN($Q$3,$G42*(1+$G$2)),0)+IF($H42&gt;0,MIN($R$3,$H42*(1+$H$2)),0)+IF($I42&gt;0,MIN($S$3,$I42*(1+$I$2)),0)+IF($J42&gt;0,MIN($T$3,$J42*(1+$J$2)),0)+IF($K42&gt;0,MIN($U$3,$K42*(1+$K$2)),0)+IF($L42&gt;0,MIN($V$3,$L42*(1+$L$2)),0)))),MIN($M$3,$C42*(1+C$2))))</f>
        <v/>
      </c>
      <c r="N43" s="37">
        <f>IF($D42&lt;=0,0,IF($Y43=2,MIN($D42*(1+D$2),MAX(0,$B43-(IF($C42&gt;0,MIN($M$3,$C42*(1+$C$2)),0)+IF($E42&gt;0,MIN($O$3,$E42*(1+$E$2)),0)+IF($F42&gt;0,MIN($P$3,$F42*(1+$F$2)),0)+IF($G42&gt;0,MIN($Q$3,$G42*(1+$G$2)),0)+IF($H42&gt;0,MIN($R$3,$H42*(1+$H$2)),0)+IF($I42&gt;0,MIN($S$3,$I42*(1+$I$2)),0)+IF($J42&gt;0,MIN($T$3,$J42*(1+$J$2)),0)+IF($K42&gt;0,MIN($U$3,$K42*(1+$K$2)),0)+IF($L42&gt;0,MIN($V$3,$L42*(1+$L$2)),0)))),MIN($N$3,$D42*(1+D$2))))</f>
        <v/>
      </c>
      <c r="O43" s="37">
        <f>IF($E42&lt;=0,0,IF($Y43=3,MIN($E42*(1+E$2),MAX(0,$B43-(IF($C42&gt;0,MIN($M$3,$C42*(1+$C$2)),0)+IF($D42&gt;0,MIN($N$3,$D42*(1+$D$2)),0)+IF($F42&gt;0,MIN($P$3,$F42*(1+$F$2)),0)+IF($G42&gt;0,MIN($Q$3,$G42*(1+$G$2)),0)+IF($H42&gt;0,MIN($R$3,$H42*(1+$H$2)),0)+IF($I42&gt;0,MIN($S$3,$I42*(1+$I$2)),0)+IF($J42&gt;0,MIN($T$3,$J42*(1+$J$2)),0)+IF($K42&gt;0,MIN($U$3,$K42*(1+$K$2)),0)+IF($L42&gt;0,MIN($V$3,$L42*(1+$L$2)),0)))),MIN($O$3,$E42*(1+E$2))))</f>
        <v/>
      </c>
      <c r="P43" s="37">
        <f>IF($F42&lt;=0,0,IF($Y43=4,MIN($F42*(1+F$2),MAX(0,$B43-(IF($C42&gt;0,MIN($M$3,$C42*(1+$C$2)),0)+IF($D42&gt;0,MIN($N$3,$D42*(1+$D$2)),0)+IF($E42&gt;0,MIN($O$3,$E42*(1+$E$2)),0)+IF($G42&gt;0,MIN($Q$3,$G42*(1+$G$2)),0)+IF($H42&gt;0,MIN($R$3,$H42*(1+$H$2)),0)+IF($I42&gt;0,MIN($S$3,$I42*(1+$I$2)),0)+IF($J42&gt;0,MIN($T$3,$J42*(1+$J$2)),0)+IF($K42&gt;0,MIN($U$3,$K42*(1+$K$2)),0)+IF($L42&gt;0,MIN($V$3,$L42*(1+$L$2)),0)))),MIN($P$3,$F42*(1+F$2))))</f>
        <v/>
      </c>
      <c r="Q43" s="37">
        <f>IF($G42&lt;=0,0,IF($Y43=5,MIN($G42*(1+G$2),MAX(0,$B43-(IF($C42&gt;0,MIN($M$3,$C42*(1+$C$2)),0)+IF($D42&gt;0,MIN($N$3,$D42*(1+$D$2)),0)+IF($E42&gt;0,MIN($O$3,$E42*(1+$E$2)),0)+IF($F42&gt;0,MIN($P$3,$F42*(1+$F$2)),0)+IF($H42&gt;0,MIN($R$3,$H42*(1+$H$2)),0)+IF($I42&gt;0,MIN($S$3,$I42*(1+$I$2)),0)+IF($J42&gt;0,MIN($T$3,$J42*(1+$J$2)),0)+IF($K42&gt;0,MIN($U$3,$K42*(1+$K$2)),0)+IF($L42&gt;0,MIN($V$3,$L42*(1+$L$2)),0)))),MIN($Q$3,$G42*(1+G$2))))</f>
        <v/>
      </c>
      <c r="R43" s="37">
        <f>IF($H42&lt;=0,0,IF($Y43=6,MIN($H42*(1+H$2),MAX(0,$B43-(IF($C42&gt;0,MIN($M$3,$C42*(1+$C$2)),0)+IF($D42&gt;0,MIN($N$3,$D42*(1+$D$2)),0)+IF($E42&gt;0,MIN($O$3,$E42*(1+$E$2)),0)+IF($F42&gt;0,MIN($P$3,$F42*(1+$F$2)),0)+IF($G42&gt;0,MIN($Q$3,$G42*(1+$G$2)),0)+IF($I42&gt;0,MIN($S$3,$I42*(1+$I$2)),0)+IF($J42&gt;0,MIN($T$3,$J42*(1+$J$2)),0)+IF($K42&gt;0,MIN($U$3,$K42*(1+$K$2)),0)+IF($L42&gt;0,MIN($V$3,$L42*(1+$L$2)),0)))),MIN($R$3,$H42*(1+H$2))))</f>
        <v/>
      </c>
      <c r="S43" s="37">
        <f>IF($I42&lt;=0,0,IF($Y43=7,MIN($I42*(1+I$2),MAX(0,$B43-(IF($C42&gt;0,MIN($M$3,$C42*(1+$C$2)),0)+IF($D42&gt;0,MIN($N$3,$D42*(1+$D$2)),0)+IF($E42&gt;0,MIN($O$3,$E42*(1+$E$2)),0)+IF($F42&gt;0,MIN($P$3,$F42*(1+$F$2)),0)+IF($G42&gt;0,MIN($Q$3,$G42*(1+$G$2)),0)+IF($H42&gt;0,MIN($R$3,$H42*(1+$H$2)),0)+IF($J42&gt;0,MIN($T$3,$J42*(1+$J$2)),0)+IF($K42&gt;0,MIN($U$3,$K42*(1+$K$2)),0)+IF($L42&gt;0,MIN($V$3,$L42*(1+$L$2)),0)))),MIN($S$3,$I42*(1+I$2))))</f>
        <v/>
      </c>
      <c r="T43" s="37">
        <f>IF($J42&lt;=0,0,IF($Y43=8,MIN($J42*(1+J$2),MAX(0,$B43-(IF($C42&gt;0,MIN($M$3,$C42*(1+$C$2)),0)+IF($D42&gt;0,MIN($N$3,$D42*(1+$D$2)),0)+IF($E42&gt;0,MIN($O$3,$E42*(1+$E$2)),0)+IF($F42&gt;0,MIN($P$3,$F42*(1+$F$2)),0)+IF($G42&gt;0,MIN($Q$3,$G42*(1+$G$2)),0)+IF($H42&gt;0,MIN($R$3,$H42*(1+$H$2)),0)+IF($I42&gt;0,MIN($S$3,$I42*(1+$I$2)),0)+IF($K42&gt;0,MIN($U$3,$K42*(1+$K$2)),0)+IF($L42&gt;0,MIN($V$3,$L42*(1+$L$2)),0)))),MIN($T$3,$J42*(1+J$2))))</f>
        <v/>
      </c>
      <c r="U43" s="37">
        <f>IF($K42&lt;=0,0,IF($Y43=9,MIN($K42*(1+K$2),MAX(0,$B43-(IF($C42&gt;0,MIN($M$3,$C42*(1+$C$2)),0)+IF($D42&gt;0,MIN($N$3,$D42*(1+$D$2)),0)+IF($E42&gt;0,MIN($O$3,$E42*(1+$E$2)),0)+IF($F42&gt;0,MIN($P$3,$F42*(1+$F$2)),0)+IF($G42&gt;0,MIN($Q$3,$G42*(1+$G$2)),0)+IF($H42&gt;0,MIN($R$3,$H42*(1+$H$2)),0)+IF($I42&gt;0,MIN($S$3,$I42*(1+$I$2)),0)+IF($J42&gt;0,MIN($T$3,$J42*(1+$J$2)),0)+IF($L42&gt;0,MIN($V$3,$L42*(1+$L$2)),0)))),MIN($U$3,$K42*(1+K$2))))</f>
        <v/>
      </c>
      <c r="V43" s="37">
        <f>IF($L42&lt;=0,0,IF($Y43=10,MIN($L42*(1+L$2),MAX(0,$B43-(IF($C42&gt;0,MIN($M$3,$C42*(1+$C$2)),0)+IF($D42&gt;0,MIN($N$3,$D42*(1+$D$2)),0)+IF($E42&gt;0,MIN($O$3,$E42*(1+$E$2)),0)+IF($F42&gt;0,MIN($P$3,$F42*(1+$F$2)),0)+IF($G42&gt;0,MIN($Q$3,$G42*(1+$G$2)),0)+IF($H42&gt;0,MIN($R$3,$H42*(1+$H$2)),0)+IF($I42&gt;0,MIN($S$3,$I42*(1+$I$2)),0)+IF($J42&gt;0,MIN($T$3,$J42*(1+$J$2)),0)+IF($K42&gt;0,MIN($U$3,$K42*(1+$K$2)),0)))),MIN($V$3,$L42*(1+L$2))))</f>
        <v/>
      </c>
      <c r="W43" s="37">
        <f>ROUND(SUMPRODUCT($C42:$L42,$C$2:$L$2),2)</f>
        <v/>
      </c>
      <c r="X43" s="37">
        <f>SUM($C43:$L43)</f>
        <v/>
      </c>
      <c r="Y43" s="42">
        <f>IF($X42=0,"",MIN(IF($C42&gt;0,1,'My Debts'!$B$13+1),IF($D42&gt;0,2,'My Debts'!$B$13+1),IF($E42&gt;0,3,'My Debts'!$B$13+1),IF($F42&gt;0,4,'My Debts'!$B$13+1),IF($G42&gt;0,5,'My Debts'!$B$13+1),IF($H42&gt;0,6,'My Debts'!$B$13+1),IF($I42&gt;0,7,'My Debts'!$B$13+1),IF($J42&gt;0,8,'My Debts'!$B$13+1),IF($K42&gt;0,9,'My Debts'!$B$13+1),IF($L42&gt;0,10,'My Debts'!$B$13+1)))</f>
        <v/>
      </c>
    </row>
    <row r="44" ht="18" customHeight="1" s="44">
      <c r="A44" s="42" t="n">
        <v>39</v>
      </c>
      <c r="B44" s="37">
        <f>IF($X43&gt;0,'My Debts'!$B$8,0)</f>
        <v/>
      </c>
      <c r="C44" s="37">
        <f>ROUND(MAX(0,$C43*(1+C$2)-M44),2)</f>
        <v/>
      </c>
      <c r="D44" s="37">
        <f>ROUND(MAX(0,$D43*(1+D$2)-N44),2)</f>
        <v/>
      </c>
      <c r="E44" s="37">
        <f>ROUND(MAX(0,$E43*(1+E$2)-O44),2)</f>
        <v/>
      </c>
      <c r="F44" s="37">
        <f>ROUND(MAX(0,$F43*(1+F$2)-P44),2)</f>
        <v/>
      </c>
      <c r="G44" s="37">
        <f>ROUND(MAX(0,$G43*(1+G$2)-Q44),2)</f>
        <v/>
      </c>
      <c r="H44" s="37">
        <f>ROUND(MAX(0,$H43*(1+H$2)-R44),2)</f>
        <v/>
      </c>
      <c r="I44" s="37">
        <f>ROUND(MAX(0,$I43*(1+I$2)-S44),2)</f>
        <v/>
      </c>
      <c r="J44" s="37">
        <f>ROUND(MAX(0,$J43*(1+J$2)-T44),2)</f>
        <v/>
      </c>
      <c r="K44" s="37">
        <f>ROUND(MAX(0,$K43*(1+K$2)-U44),2)</f>
        <v/>
      </c>
      <c r="L44" s="37">
        <f>ROUND(MAX(0,$L43*(1+L$2)-V44),2)</f>
        <v/>
      </c>
      <c r="M44" s="37">
        <f>IF($C43&lt;=0,0,IF($Y44=1,MIN($C43*(1+C$2),MAX(0,$B44-(IF($D43&gt;0,MIN($N$3,$D43*(1+$D$2)),0)+IF($E43&gt;0,MIN($O$3,$E43*(1+$E$2)),0)+IF($F43&gt;0,MIN($P$3,$F43*(1+$F$2)),0)+IF($G43&gt;0,MIN($Q$3,$G43*(1+$G$2)),0)+IF($H43&gt;0,MIN($R$3,$H43*(1+$H$2)),0)+IF($I43&gt;0,MIN($S$3,$I43*(1+$I$2)),0)+IF($J43&gt;0,MIN($T$3,$J43*(1+$J$2)),0)+IF($K43&gt;0,MIN($U$3,$K43*(1+$K$2)),0)+IF($L43&gt;0,MIN($V$3,$L43*(1+$L$2)),0)))),MIN($M$3,$C43*(1+C$2))))</f>
        <v/>
      </c>
      <c r="N44" s="37">
        <f>IF($D43&lt;=0,0,IF($Y44=2,MIN($D43*(1+D$2),MAX(0,$B44-(IF($C43&gt;0,MIN($M$3,$C43*(1+$C$2)),0)+IF($E43&gt;0,MIN($O$3,$E43*(1+$E$2)),0)+IF($F43&gt;0,MIN($P$3,$F43*(1+$F$2)),0)+IF($G43&gt;0,MIN($Q$3,$G43*(1+$G$2)),0)+IF($H43&gt;0,MIN($R$3,$H43*(1+$H$2)),0)+IF($I43&gt;0,MIN($S$3,$I43*(1+$I$2)),0)+IF($J43&gt;0,MIN($T$3,$J43*(1+$J$2)),0)+IF($K43&gt;0,MIN($U$3,$K43*(1+$K$2)),0)+IF($L43&gt;0,MIN($V$3,$L43*(1+$L$2)),0)))),MIN($N$3,$D43*(1+D$2))))</f>
        <v/>
      </c>
      <c r="O44" s="37">
        <f>IF($E43&lt;=0,0,IF($Y44=3,MIN($E43*(1+E$2),MAX(0,$B44-(IF($C43&gt;0,MIN($M$3,$C43*(1+$C$2)),0)+IF($D43&gt;0,MIN($N$3,$D43*(1+$D$2)),0)+IF($F43&gt;0,MIN($P$3,$F43*(1+$F$2)),0)+IF($G43&gt;0,MIN($Q$3,$G43*(1+$G$2)),0)+IF($H43&gt;0,MIN($R$3,$H43*(1+$H$2)),0)+IF($I43&gt;0,MIN($S$3,$I43*(1+$I$2)),0)+IF($J43&gt;0,MIN($T$3,$J43*(1+$J$2)),0)+IF($K43&gt;0,MIN($U$3,$K43*(1+$K$2)),0)+IF($L43&gt;0,MIN($V$3,$L43*(1+$L$2)),0)))),MIN($O$3,$E43*(1+E$2))))</f>
        <v/>
      </c>
      <c r="P44" s="37">
        <f>IF($F43&lt;=0,0,IF($Y44=4,MIN($F43*(1+F$2),MAX(0,$B44-(IF($C43&gt;0,MIN($M$3,$C43*(1+$C$2)),0)+IF($D43&gt;0,MIN($N$3,$D43*(1+$D$2)),0)+IF($E43&gt;0,MIN($O$3,$E43*(1+$E$2)),0)+IF($G43&gt;0,MIN($Q$3,$G43*(1+$G$2)),0)+IF($H43&gt;0,MIN($R$3,$H43*(1+$H$2)),0)+IF($I43&gt;0,MIN($S$3,$I43*(1+$I$2)),0)+IF($J43&gt;0,MIN($T$3,$J43*(1+$J$2)),0)+IF($K43&gt;0,MIN($U$3,$K43*(1+$K$2)),0)+IF($L43&gt;0,MIN($V$3,$L43*(1+$L$2)),0)))),MIN($P$3,$F43*(1+F$2))))</f>
        <v/>
      </c>
      <c r="Q44" s="37">
        <f>IF($G43&lt;=0,0,IF($Y44=5,MIN($G43*(1+G$2),MAX(0,$B44-(IF($C43&gt;0,MIN($M$3,$C43*(1+$C$2)),0)+IF($D43&gt;0,MIN($N$3,$D43*(1+$D$2)),0)+IF($E43&gt;0,MIN($O$3,$E43*(1+$E$2)),0)+IF($F43&gt;0,MIN($P$3,$F43*(1+$F$2)),0)+IF($H43&gt;0,MIN($R$3,$H43*(1+$H$2)),0)+IF($I43&gt;0,MIN($S$3,$I43*(1+$I$2)),0)+IF($J43&gt;0,MIN($T$3,$J43*(1+$J$2)),0)+IF($K43&gt;0,MIN($U$3,$K43*(1+$K$2)),0)+IF($L43&gt;0,MIN($V$3,$L43*(1+$L$2)),0)))),MIN($Q$3,$G43*(1+G$2))))</f>
        <v/>
      </c>
      <c r="R44" s="37">
        <f>IF($H43&lt;=0,0,IF($Y44=6,MIN($H43*(1+H$2),MAX(0,$B44-(IF($C43&gt;0,MIN($M$3,$C43*(1+$C$2)),0)+IF($D43&gt;0,MIN($N$3,$D43*(1+$D$2)),0)+IF($E43&gt;0,MIN($O$3,$E43*(1+$E$2)),0)+IF($F43&gt;0,MIN($P$3,$F43*(1+$F$2)),0)+IF($G43&gt;0,MIN($Q$3,$G43*(1+$G$2)),0)+IF($I43&gt;0,MIN($S$3,$I43*(1+$I$2)),0)+IF($J43&gt;0,MIN($T$3,$J43*(1+$J$2)),0)+IF($K43&gt;0,MIN($U$3,$K43*(1+$K$2)),0)+IF($L43&gt;0,MIN($V$3,$L43*(1+$L$2)),0)))),MIN($R$3,$H43*(1+H$2))))</f>
        <v/>
      </c>
      <c r="S44" s="37">
        <f>IF($I43&lt;=0,0,IF($Y44=7,MIN($I43*(1+I$2),MAX(0,$B44-(IF($C43&gt;0,MIN($M$3,$C43*(1+$C$2)),0)+IF($D43&gt;0,MIN($N$3,$D43*(1+$D$2)),0)+IF($E43&gt;0,MIN($O$3,$E43*(1+$E$2)),0)+IF($F43&gt;0,MIN($P$3,$F43*(1+$F$2)),0)+IF($G43&gt;0,MIN($Q$3,$G43*(1+$G$2)),0)+IF($H43&gt;0,MIN($R$3,$H43*(1+$H$2)),0)+IF($J43&gt;0,MIN($T$3,$J43*(1+$J$2)),0)+IF($K43&gt;0,MIN($U$3,$K43*(1+$K$2)),0)+IF($L43&gt;0,MIN($V$3,$L43*(1+$L$2)),0)))),MIN($S$3,$I43*(1+I$2))))</f>
        <v/>
      </c>
      <c r="T44" s="37">
        <f>IF($J43&lt;=0,0,IF($Y44=8,MIN($J43*(1+J$2),MAX(0,$B44-(IF($C43&gt;0,MIN($M$3,$C43*(1+$C$2)),0)+IF($D43&gt;0,MIN($N$3,$D43*(1+$D$2)),0)+IF($E43&gt;0,MIN($O$3,$E43*(1+$E$2)),0)+IF($F43&gt;0,MIN($P$3,$F43*(1+$F$2)),0)+IF($G43&gt;0,MIN($Q$3,$G43*(1+$G$2)),0)+IF($H43&gt;0,MIN($R$3,$H43*(1+$H$2)),0)+IF($I43&gt;0,MIN($S$3,$I43*(1+$I$2)),0)+IF($K43&gt;0,MIN($U$3,$K43*(1+$K$2)),0)+IF($L43&gt;0,MIN($V$3,$L43*(1+$L$2)),0)))),MIN($T$3,$J43*(1+J$2))))</f>
        <v/>
      </c>
      <c r="U44" s="37">
        <f>IF($K43&lt;=0,0,IF($Y44=9,MIN($K43*(1+K$2),MAX(0,$B44-(IF($C43&gt;0,MIN($M$3,$C43*(1+$C$2)),0)+IF($D43&gt;0,MIN($N$3,$D43*(1+$D$2)),0)+IF($E43&gt;0,MIN($O$3,$E43*(1+$E$2)),0)+IF($F43&gt;0,MIN($P$3,$F43*(1+$F$2)),0)+IF($G43&gt;0,MIN($Q$3,$G43*(1+$G$2)),0)+IF($H43&gt;0,MIN($R$3,$H43*(1+$H$2)),0)+IF($I43&gt;0,MIN($S$3,$I43*(1+$I$2)),0)+IF($J43&gt;0,MIN($T$3,$J43*(1+$J$2)),0)+IF($L43&gt;0,MIN($V$3,$L43*(1+$L$2)),0)))),MIN($U$3,$K43*(1+K$2))))</f>
        <v/>
      </c>
      <c r="V44" s="37">
        <f>IF($L43&lt;=0,0,IF($Y44=10,MIN($L43*(1+L$2),MAX(0,$B44-(IF($C43&gt;0,MIN($M$3,$C43*(1+$C$2)),0)+IF($D43&gt;0,MIN($N$3,$D43*(1+$D$2)),0)+IF($E43&gt;0,MIN($O$3,$E43*(1+$E$2)),0)+IF($F43&gt;0,MIN($P$3,$F43*(1+$F$2)),0)+IF($G43&gt;0,MIN($Q$3,$G43*(1+$G$2)),0)+IF($H43&gt;0,MIN($R$3,$H43*(1+$H$2)),0)+IF($I43&gt;0,MIN($S$3,$I43*(1+$I$2)),0)+IF($J43&gt;0,MIN($T$3,$J43*(1+$J$2)),0)+IF($K43&gt;0,MIN($U$3,$K43*(1+$K$2)),0)))),MIN($V$3,$L43*(1+L$2))))</f>
        <v/>
      </c>
      <c r="W44" s="37">
        <f>ROUND(SUMPRODUCT($C43:$L43,$C$2:$L$2),2)</f>
        <v/>
      </c>
      <c r="X44" s="37">
        <f>SUM($C44:$L44)</f>
        <v/>
      </c>
      <c r="Y44" s="42">
        <f>IF($X43=0,"",MIN(IF($C43&gt;0,1,'My Debts'!$B$13+1),IF($D43&gt;0,2,'My Debts'!$B$13+1),IF($E43&gt;0,3,'My Debts'!$B$13+1),IF($F43&gt;0,4,'My Debts'!$B$13+1),IF($G43&gt;0,5,'My Debts'!$B$13+1),IF($H43&gt;0,6,'My Debts'!$B$13+1),IF($I43&gt;0,7,'My Debts'!$B$13+1),IF($J43&gt;0,8,'My Debts'!$B$13+1),IF($K43&gt;0,9,'My Debts'!$B$13+1),IF($L43&gt;0,10,'My Debts'!$B$13+1)))</f>
        <v/>
      </c>
    </row>
    <row r="45" ht="18" customHeight="1" s="44">
      <c r="A45" s="42" t="n">
        <v>40</v>
      </c>
      <c r="B45" s="37">
        <f>IF($X44&gt;0,'My Debts'!$B$8,0)</f>
        <v/>
      </c>
      <c r="C45" s="37">
        <f>ROUND(MAX(0,$C44*(1+C$2)-M45),2)</f>
        <v/>
      </c>
      <c r="D45" s="37">
        <f>ROUND(MAX(0,$D44*(1+D$2)-N45),2)</f>
        <v/>
      </c>
      <c r="E45" s="37">
        <f>ROUND(MAX(0,$E44*(1+E$2)-O45),2)</f>
        <v/>
      </c>
      <c r="F45" s="37">
        <f>ROUND(MAX(0,$F44*(1+F$2)-P45),2)</f>
        <v/>
      </c>
      <c r="G45" s="37">
        <f>ROUND(MAX(0,$G44*(1+G$2)-Q45),2)</f>
        <v/>
      </c>
      <c r="H45" s="37">
        <f>ROUND(MAX(0,$H44*(1+H$2)-R45),2)</f>
        <v/>
      </c>
      <c r="I45" s="37">
        <f>ROUND(MAX(0,$I44*(1+I$2)-S45),2)</f>
        <v/>
      </c>
      <c r="J45" s="37">
        <f>ROUND(MAX(0,$J44*(1+J$2)-T45),2)</f>
        <v/>
      </c>
      <c r="K45" s="37">
        <f>ROUND(MAX(0,$K44*(1+K$2)-U45),2)</f>
        <v/>
      </c>
      <c r="L45" s="37">
        <f>ROUND(MAX(0,$L44*(1+L$2)-V45),2)</f>
        <v/>
      </c>
      <c r="M45" s="37">
        <f>IF($C44&lt;=0,0,IF($Y45=1,MIN($C44*(1+C$2),MAX(0,$B45-(IF($D44&gt;0,MIN($N$3,$D44*(1+$D$2)),0)+IF($E44&gt;0,MIN($O$3,$E44*(1+$E$2)),0)+IF($F44&gt;0,MIN($P$3,$F44*(1+$F$2)),0)+IF($G44&gt;0,MIN($Q$3,$G44*(1+$G$2)),0)+IF($H44&gt;0,MIN($R$3,$H44*(1+$H$2)),0)+IF($I44&gt;0,MIN($S$3,$I44*(1+$I$2)),0)+IF($J44&gt;0,MIN($T$3,$J44*(1+$J$2)),0)+IF($K44&gt;0,MIN($U$3,$K44*(1+$K$2)),0)+IF($L44&gt;0,MIN($V$3,$L44*(1+$L$2)),0)))),MIN($M$3,$C44*(1+C$2))))</f>
        <v/>
      </c>
      <c r="N45" s="37">
        <f>IF($D44&lt;=0,0,IF($Y45=2,MIN($D44*(1+D$2),MAX(0,$B45-(IF($C44&gt;0,MIN($M$3,$C44*(1+$C$2)),0)+IF($E44&gt;0,MIN($O$3,$E44*(1+$E$2)),0)+IF($F44&gt;0,MIN($P$3,$F44*(1+$F$2)),0)+IF($G44&gt;0,MIN($Q$3,$G44*(1+$G$2)),0)+IF($H44&gt;0,MIN($R$3,$H44*(1+$H$2)),0)+IF($I44&gt;0,MIN($S$3,$I44*(1+$I$2)),0)+IF($J44&gt;0,MIN($T$3,$J44*(1+$J$2)),0)+IF($K44&gt;0,MIN($U$3,$K44*(1+$K$2)),0)+IF($L44&gt;0,MIN($V$3,$L44*(1+$L$2)),0)))),MIN($N$3,$D44*(1+D$2))))</f>
        <v/>
      </c>
      <c r="O45" s="37">
        <f>IF($E44&lt;=0,0,IF($Y45=3,MIN($E44*(1+E$2),MAX(0,$B45-(IF($C44&gt;0,MIN($M$3,$C44*(1+$C$2)),0)+IF($D44&gt;0,MIN($N$3,$D44*(1+$D$2)),0)+IF($F44&gt;0,MIN($P$3,$F44*(1+$F$2)),0)+IF($G44&gt;0,MIN($Q$3,$G44*(1+$G$2)),0)+IF($H44&gt;0,MIN($R$3,$H44*(1+$H$2)),0)+IF($I44&gt;0,MIN($S$3,$I44*(1+$I$2)),0)+IF($J44&gt;0,MIN($T$3,$J44*(1+$J$2)),0)+IF($K44&gt;0,MIN($U$3,$K44*(1+$K$2)),0)+IF($L44&gt;0,MIN($V$3,$L44*(1+$L$2)),0)))),MIN($O$3,$E44*(1+E$2))))</f>
        <v/>
      </c>
      <c r="P45" s="37">
        <f>IF($F44&lt;=0,0,IF($Y45=4,MIN($F44*(1+F$2),MAX(0,$B45-(IF($C44&gt;0,MIN($M$3,$C44*(1+$C$2)),0)+IF($D44&gt;0,MIN($N$3,$D44*(1+$D$2)),0)+IF($E44&gt;0,MIN($O$3,$E44*(1+$E$2)),0)+IF($G44&gt;0,MIN($Q$3,$G44*(1+$G$2)),0)+IF($H44&gt;0,MIN($R$3,$H44*(1+$H$2)),0)+IF($I44&gt;0,MIN($S$3,$I44*(1+$I$2)),0)+IF($J44&gt;0,MIN($T$3,$J44*(1+$J$2)),0)+IF($K44&gt;0,MIN($U$3,$K44*(1+$K$2)),0)+IF($L44&gt;0,MIN($V$3,$L44*(1+$L$2)),0)))),MIN($P$3,$F44*(1+F$2))))</f>
        <v/>
      </c>
      <c r="Q45" s="37">
        <f>IF($G44&lt;=0,0,IF($Y45=5,MIN($G44*(1+G$2),MAX(0,$B45-(IF($C44&gt;0,MIN($M$3,$C44*(1+$C$2)),0)+IF($D44&gt;0,MIN($N$3,$D44*(1+$D$2)),0)+IF($E44&gt;0,MIN($O$3,$E44*(1+$E$2)),0)+IF($F44&gt;0,MIN($P$3,$F44*(1+$F$2)),0)+IF($H44&gt;0,MIN($R$3,$H44*(1+$H$2)),0)+IF($I44&gt;0,MIN($S$3,$I44*(1+$I$2)),0)+IF($J44&gt;0,MIN($T$3,$J44*(1+$J$2)),0)+IF($K44&gt;0,MIN($U$3,$K44*(1+$K$2)),0)+IF($L44&gt;0,MIN($V$3,$L44*(1+$L$2)),0)))),MIN($Q$3,$G44*(1+G$2))))</f>
        <v/>
      </c>
      <c r="R45" s="37">
        <f>IF($H44&lt;=0,0,IF($Y45=6,MIN($H44*(1+H$2),MAX(0,$B45-(IF($C44&gt;0,MIN($M$3,$C44*(1+$C$2)),0)+IF($D44&gt;0,MIN($N$3,$D44*(1+$D$2)),0)+IF($E44&gt;0,MIN($O$3,$E44*(1+$E$2)),0)+IF($F44&gt;0,MIN($P$3,$F44*(1+$F$2)),0)+IF($G44&gt;0,MIN($Q$3,$G44*(1+$G$2)),0)+IF($I44&gt;0,MIN($S$3,$I44*(1+$I$2)),0)+IF($J44&gt;0,MIN($T$3,$J44*(1+$J$2)),0)+IF($K44&gt;0,MIN($U$3,$K44*(1+$K$2)),0)+IF($L44&gt;0,MIN($V$3,$L44*(1+$L$2)),0)))),MIN($R$3,$H44*(1+H$2))))</f>
        <v/>
      </c>
      <c r="S45" s="37">
        <f>IF($I44&lt;=0,0,IF($Y45=7,MIN($I44*(1+I$2),MAX(0,$B45-(IF($C44&gt;0,MIN($M$3,$C44*(1+$C$2)),0)+IF($D44&gt;0,MIN($N$3,$D44*(1+$D$2)),0)+IF($E44&gt;0,MIN($O$3,$E44*(1+$E$2)),0)+IF($F44&gt;0,MIN($P$3,$F44*(1+$F$2)),0)+IF($G44&gt;0,MIN($Q$3,$G44*(1+$G$2)),0)+IF($H44&gt;0,MIN($R$3,$H44*(1+$H$2)),0)+IF($J44&gt;0,MIN($T$3,$J44*(1+$J$2)),0)+IF($K44&gt;0,MIN($U$3,$K44*(1+$K$2)),0)+IF($L44&gt;0,MIN($V$3,$L44*(1+$L$2)),0)))),MIN($S$3,$I44*(1+I$2))))</f>
        <v/>
      </c>
      <c r="T45" s="37">
        <f>IF($J44&lt;=0,0,IF($Y45=8,MIN($J44*(1+J$2),MAX(0,$B45-(IF($C44&gt;0,MIN($M$3,$C44*(1+$C$2)),0)+IF($D44&gt;0,MIN($N$3,$D44*(1+$D$2)),0)+IF($E44&gt;0,MIN($O$3,$E44*(1+$E$2)),0)+IF($F44&gt;0,MIN($P$3,$F44*(1+$F$2)),0)+IF($G44&gt;0,MIN($Q$3,$G44*(1+$G$2)),0)+IF($H44&gt;0,MIN($R$3,$H44*(1+$H$2)),0)+IF($I44&gt;0,MIN($S$3,$I44*(1+$I$2)),0)+IF($K44&gt;0,MIN($U$3,$K44*(1+$K$2)),0)+IF($L44&gt;0,MIN($V$3,$L44*(1+$L$2)),0)))),MIN($T$3,$J44*(1+J$2))))</f>
        <v/>
      </c>
      <c r="U45" s="37">
        <f>IF($K44&lt;=0,0,IF($Y45=9,MIN($K44*(1+K$2),MAX(0,$B45-(IF($C44&gt;0,MIN($M$3,$C44*(1+$C$2)),0)+IF($D44&gt;0,MIN($N$3,$D44*(1+$D$2)),0)+IF($E44&gt;0,MIN($O$3,$E44*(1+$E$2)),0)+IF($F44&gt;0,MIN($P$3,$F44*(1+$F$2)),0)+IF($G44&gt;0,MIN($Q$3,$G44*(1+$G$2)),0)+IF($H44&gt;0,MIN($R$3,$H44*(1+$H$2)),0)+IF($I44&gt;0,MIN($S$3,$I44*(1+$I$2)),0)+IF($J44&gt;0,MIN($T$3,$J44*(1+$J$2)),0)+IF($L44&gt;0,MIN($V$3,$L44*(1+$L$2)),0)))),MIN($U$3,$K44*(1+K$2))))</f>
        <v/>
      </c>
      <c r="V45" s="37">
        <f>IF($L44&lt;=0,0,IF($Y45=10,MIN($L44*(1+L$2),MAX(0,$B45-(IF($C44&gt;0,MIN($M$3,$C44*(1+$C$2)),0)+IF($D44&gt;0,MIN($N$3,$D44*(1+$D$2)),0)+IF($E44&gt;0,MIN($O$3,$E44*(1+$E$2)),0)+IF($F44&gt;0,MIN($P$3,$F44*(1+$F$2)),0)+IF($G44&gt;0,MIN($Q$3,$G44*(1+$G$2)),0)+IF($H44&gt;0,MIN($R$3,$H44*(1+$H$2)),0)+IF($I44&gt;0,MIN($S$3,$I44*(1+$I$2)),0)+IF($J44&gt;0,MIN($T$3,$J44*(1+$J$2)),0)+IF($K44&gt;0,MIN($U$3,$K44*(1+$K$2)),0)))),MIN($V$3,$L44*(1+L$2))))</f>
        <v/>
      </c>
      <c r="W45" s="37">
        <f>ROUND(SUMPRODUCT($C44:$L44,$C$2:$L$2),2)</f>
        <v/>
      </c>
      <c r="X45" s="37">
        <f>SUM($C45:$L45)</f>
        <v/>
      </c>
      <c r="Y45" s="42">
        <f>IF($X44=0,"",MIN(IF($C44&gt;0,1,'My Debts'!$B$13+1),IF($D44&gt;0,2,'My Debts'!$B$13+1),IF($E44&gt;0,3,'My Debts'!$B$13+1),IF($F44&gt;0,4,'My Debts'!$B$13+1),IF($G44&gt;0,5,'My Debts'!$B$13+1),IF($H44&gt;0,6,'My Debts'!$B$13+1),IF($I44&gt;0,7,'My Debts'!$B$13+1),IF($J44&gt;0,8,'My Debts'!$B$13+1),IF($K44&gt;0,9,'My Debts'!$B$13+1),IF($L44&gt;0,10,'My Debts'!$B$13+1)))</f>
        <v/>
      </c>
    </row>
    <row r="46" ht="18" customHeight="1" s="44">
      <c r="A46" s="42" t="n">
        <v>41</v>
      </c>
      <c r="B46" s="37">
        <f>IF($X45&gt;0,'My Debts'!$B$8,0)</f>
        <v/>
      </c>
      <c r="C46" s="37">
        <f>ROUND(MAX(0,$C45*(1+C$2)-M46),2)</f>
        <v/>
      </c>
      <c r="D46" s="37">
        <f>ROUND(MAX(0,$D45*(1+D$2)-N46),2)</f>
        <v/>
      </c>
      <c r="E46" s="37">
        <f>ROUND(MAX(0,$E45*(1+E$2)-O46),2)</f>
        <v/>
      </c>
      <c r="F46" s="37">
        <f>ROUND(MAX(0,$F45*(1+F$2)-P46),2)</f>
        <v/>
      </c>
      <c r="G46" s="37">
        <f>ROUND(MAX(0,$G45*(1+G$2)-Q46),2)</f>
        <v/>
      </c>
      <c r="H46" s="37">
        <f>ROUND(MAX(0,$H45*(1+H$2)-R46),2)</f>
        <v/>
      </c>
      <c r="I46" s="37">
        <f>ROUND(MAX(0,$I45*(1+I$2)-S46),2)</f>
        <v/>
      </c>
      <c r="J46" s="37">
        <f>ROUND(MAX(0,$J45*(1+J$2)-T46),2)</f>
        <v/>
      </c>
      <c r="K46" s="37">
        <f>ROUND(MAX(0,$K45*(1+K$2)-U46),2)</f>
        <v/>
      </c>
      <c r="L46" s="37">
        <f>ROUND(MAX(0,$L45*(1+L$2)-V46),2)</f>
        <v/>
      </c>
      <c r="M46" s="37">
        <f>IF($C45&lt;=0,0,IF($Y46=1,MIN($C45*(1+C$2),MAX(0,$B46-(IF($D45&gt;0,MIN($N$3,$D45*(1+$D$2)),0)+IF($E45&gt;0,MIN($O$3,$E45*(1+$E$2)),0)+IF($F45&gt;0,MIN($P$3,$F45*(1+$F$2)),0)+IF($G45&gt;0,MIN($Q$3,$G45*(1+$G$2)),0)+IF($H45&gt;0,MIN($R$3,$H45*(1+$H$2)),0)+IF($I45&gt;0,MIN($S$3,$I45*(1+$I$2)),0)+IF($J45&gt;0,MIN($T$3,$J45*(1+$J$2)),0)+IF($K45&gt;0,MIN($U$3,$K45*(1+$K$2)),0)+IF($L45&gt;0,MIN($V$3,$L45*(1+$L$2)),0)))),MIN($M$3,$C45*(1+C$2))))</f>
        <v/>
      </c>
      <c r="N46" s="37">
        <f>IF($D45&lt;=0,0,IF($Y46=2,MIN($D45*(1+D$2),MAX(0,$B46-(IF($C45&gt;0,MIN($M$3,$C45*(1+$C$2)),0)+IF($E45&gt;0,MIN($O$3,$E45*(1+$E$2)),0)+IF($F45&gt;0,MIN($P$3,$F45*(1+$F$2)),0)+IF($G45&gt;0,MIN($Q$3,$G45*(1+$G$2)),0)+IF($H45&gt;0,MIN($R$3,$H45*(1+$H$2)),0)+IF($I45&gt;0,MIN($S$3,$I45*(1+$I$2)),0)+IF($J45&gt;0,MIN($T$3,$J45*(1+$J$2)),0)+IF($K45&gt;0,MIN($U$3,$K45*(1+$K$2)),0)+IF($L45&gt;0,MIN($V$3,$L45*(1+$L$2)),0)))),MIN($N$3,$D45*(1+D$2))))</f>
        <v/>
      </c>
      <c r="O46" s="37">
        <f>IF($E45&lt;=0,0,IF($Y46=3,MIN($E45*(1+E$2),MAX(0,$B46-(IF($C45&gt;0,MIN($M$3,$C45*(1+$C$2)),0)+IF($D45&gt;0,MIN($N$3,$D45*(1+$D$2)),0)+IF($F45&gt;0,MIN($P$3,$F45*(1+$F$2)),0)+IF($G45&gt;0,MIN($Q$3,$G45*(1+$G$2)),0)+IF($H45&gt;0,MIN($R$3,$H45*(1+$H$2)),0)+IF($I45&gt;0,MIN($S$3,$I45*(1+$I$2)),0)+IF($J45&gt;0,MIN($T$3,$J45*(1+$J$2)),0)+IF($K45&gt;0,MIN($U$3,$K45*(1+$K$2)),0)+IF($L45&gt;0,MIN($V$3,$L45*(1+$L$2)),0)))),MIN($O$3,$E45*(1+E$2))))</f>
        <v/>
      </c>
      <c r="P46" s="37">
        <f>IF($F45&lt;=0,0,IF($Y46=4,MIN($F45*(1+F$2),MAX(0,$B46-(IF($C45&gt;0,MIN($M$3,$C45*(1+$C$2)),0)+IF($D45&gt;0,MIN($N$3,$D45*(1+$D$2)),0)+IF($E45&gt;0,MIN($O$3,$E45*(1+$E$2)),0)+IF($G45&gt;0,MIN($Q$3,$G45*(1+$G$2)),0)+IF($H45&gt;0,MIN($R$3,$H45*(1+$H$2)),0)+IF($I45&gt;0,MIN($S$3,$I45*(1+$I$2)),0)+IF($J45&gt;0,MIN($T$3,$J45*(1+$J$2)),0)+IF($K45&gt;0,MIN($U$3,$K45*(1+$K$2)),0)+IF($L45&gt;0,MIN($V$3,$L45*(1+$L$2)),0)))),MIN($P$3,$F45*(1+F$2))))</f>
        <v/>
      </c>
      <c r="Q46" s="37">
        <f>IF($G45&lt;=0,0,IF($Y46=5,MIN($G45*(1+G$2),MAX(0,$B46-(IF($C45&gt;0,MIN($M$3,$C45*(1+$C$2)),0)+IF($D45&gt;0,MIN($N$3,$D45*(1+$D$2)),0)+IF($E45&gt;0,MIN($O$3,$E45*(1+$E$2)),0)+IF($F45&gt;0,MIN($P$3,$F45*(1+$F$2)),0)+IF($H45&gt;0,MIN($R$3,$H45*(1+$H$2)),0)+IF($I45&gt;0,MIN($S$3,$I45*(1+$I$2)),0)+IF($J45&gt;0,MIN($T$3,$J45*(1+$J$2)),0)+IF($K45&gt;0,MIN($U$3,$K45*(1+$K$2)),0)+IF($L45&gt;0,MIN($V$3,$L45*(1+$L$2)),0)))),MIN($Q$3,$G45*(1+G$2))))</f>
        <v/>
      </c>
      <c r="R46" s="37">
        <f>IF($H45&lt;=0,0,IF($Y46=6,MIN($H45*(1+H$2),MAX(0,$B46-(IF($C45&gt;0,MIN($M$3,$C45*(1+$C$2)),0)+IF($D45&gt;0,MIN($N$3,$D45*(1+$D$2)),0)+IF($E45&gt;0,MIN($O$3,$E45*(1+$E$2)),0)+IF($F45&gt;0,MIN($P$3,$F45*(1+$F$2)),0)+IF($G45&gt;0,MIN($Q$3,$G45*(1+$G$2)),0)+IF($I45&gt;0,MIN($S$3,$I45*(1+$I$2)),0)+IF($J45&gt;0,MIN($T$3,$J45*(1+$J$2)),0)+IF($K45&gt;0,MIN($U$3,$K45*(1+$K$2)),0)+IF($L45&gt;0,MIN($V$3,$L45*(1+$L$2)),0)))),MIN($R$3,$H45*(1+H$2))))</f>
        <v/>
      </c>
      <c r="S46" s="37">
        <f>IF($I45&lt;=0,0,IF($Y46=7,MIN($I45*(1+I$2),MAX(0,$B46-(IF($C45&gt;0,MIN($M$3,$C45*(1+$C$2)),0)+IF($D45&gt;0,MIN($N$3,$D45*(1+$D$2)),0)+IF($E45&gt;0,MIN($O$3,$E45*(1+$E$2)),0)+IF($F45&gt;0,MIN($P$3,$F45*(1+$F$2)),0)+IF($G45&gt;0,MIN($Q$3,$G45*(1+$G$2)),0)+IF($H45&gt;0,MIN($R$3,$H45*(1+$H$2)),0)+IF($J45&gt;0,MIN($T$3,$J45*(1+$J$2)),0)+IF($K45&gt;0,MIN($U$3,$K45*(1+$K$2)),0)+IF($L45&gt;0,MIN($V$3,$L45*(1+$L$2)),0)))),MIN($S$3,$I45*(1+I$2))))</f>
        <v/>
      </c>
      <c r="T46" s="37">
        <f>IF($J45&lt;=0,0,IF($Y46=8,MIN($J45*(1+J$2),MAX(0,$B46-(IF($C45&gt;0,MIN($M$3,$C45*(1+$C$2)),0)+IF($D45&gt;0,MIN($N$3,$D45*(1+$D$2)),0)+IF($E45&gt;0,MIN($O$3,$E45*(1+$E$2)),0)+IF($F45&gt;0,MIN($P$3,$F45*(1+$F$2)),0)+IF($G45&gt;0,MIN($Q$3,$G45*(1+$G$2)),0)+IF($H45&gt;0,MIN($R$3,$H45*(1+$H$2)),0)+IF($I45&gt;0,MIN($S$3,$I45*(1+$I$2)),0)+IF($K45&gt;0,MIN($U$3,$K45*(1+$K$2)),0)+IF($L45&gt;0,MIN($V$3,$L45*(1+$L$2)),0)))),MIN($T$3,$J45*(1+J$2))))</f>
        <v/>
      </c>
      <c r="U46" s="37">
        <f>IF($K45&lt;=0,0,IF($Y46=9,MIN($K45*(1+K$2),MAX(0,$B46-(IF($C45&gt;0,MIN($M$3,$C45*(1+$C$2)),0)+IF($D45&gt;0,MIN($N$3,$D45*(1+$D$2)),0)+IF($E45&gt;0,MIN($O$3,$E45*(1+$E$2)),0)+IF($F45&gt;0,MIN($P$3,$F45*(1+$F$2)),0)+IF($G45&gt;0,MIN($Q$3,$G45*(1+$G$2)),0)+IF($H45&gt;0,MIN($R$3,$H45*(1+$H$2)),0)+IF($I45&gt;0,MIN($S$3,$I45*(1+$I$2)),0)+IF($J45&gt;0,MIN($T$3,$J45*(1+$J$2)),0)+IF($L45&gt;0,MIN($V$3,$L45*(1+$L$2)),0)))),MIN($U$3,$K45*(1+K$2))))</f>
        <v/>
      </c>
      <c r="V46" s="37">
        <f>IF($L45&lt;=0,0,IF($Y46=10,MIN($L45*(1+L$2),MAX(0,$B46-(IF($C45&gt;0,MIN($M$3,$C45*(1+$C$2)),0)+IF($D45&gt;0,MIN($N$3,$D45*(1+$D$2)),0)+IF($E45&gt;0,MIN($O$3,$E45*(1+$E$2)),0)+IF($F45&gt;0,MIN($P$3,$F45*(1+$F$2)),0)+IF($G45&gt;0,MIN($Q$3,$G45*(1+$G$2)),0)+IF($H45&gt;0,MIN($R$3,$H45*(1+$H$2)),0)+IF($I45&gt;0,MIN($S$3,$I45*(1+$I$2)),0)+IF($J45&gt;0,MIN($T$3,$J45*(1+$J$2)),0)+IF($K45&gt;0,MIN($U$3,$K45*(1+$K$2)),0)))),MIN($V$3,$L45*(1+L$2))))</f>
        <v/>
      </c>
      <c r="W46" s="37">
        <f>ROUND(SUMPRODUCT($C45:$L45,$C$2:$L$2),2)</f>
        <v/>
      </c>
      <c r="X46" s="37">
        <f>SUM($C46:$L46)</f>
        <v/>
      </c>
      <c r="Y46" s="42">
        <f>IF($X45=0,"",MIN(IF($C45&gt;0,1,'My Debts'!$B$13+1),IF($D45&gt;0,2,'My Debts'!$B$13+1),IF($E45&gt;0,3,'My Debts'!$B$13+1),IF($F45&gt;0,4,'My Debts'!$B$13+1),IF($G45&gt;0,5,'My Debts'!$B$13+1),IF($H45&gt;0,6,'My Debts'!$B$13+1),IF($I45&gt;0,7,'My Debts'!$B$13+1),IF($J45&gt;0,8,'My Debts'!$B$13+1),IF($K45&gt;0,9,'My Debts'!$B$13+1),IF($L45&gt;0,10,'My Debts'!$B$13+1)))</f>
        <v/>
      </c>
    </row>
    <row r="47" ht="18" customHeight="1" s="44">
      <c r="A47" s="42" t="n">
        <v>42</v>
      </c>
      <c r="B47" s="37">
        <f>IF($X46&gt;0,'My Debts'!$B$8,0)</f>
        <v/>
      </c>
      <c r="C47" s="37">
        <f>ROUND(MAX(0,$C46*(1+C$2)-M47),2)</f>
        <v/>
      </c>
      <c r="D47" s="37">
        <f>ROUND(MAX(0,$D46*(1+D$2)-N47),2)</f>
        <v/>
      </c>
      <c r="E47" s="37">
        <f>ROUND(MAX(0,$E46*(1+E$2)-O47),2)</f>
        <v/>
      </c>
      <c r="F47" s="37">
        <f>ROUND(MAX(0,$F46*(1+F$2)-P47),2)</f>
        <v/>
      </c>
      <c r="G47" s="37">
        <f>ROUND(MAX(0,$G46*(1+G$2)-Q47),2)</f>
        <v/>
      </c>
      <c r="H47" s="37">
        <f>ROUND(MAX(0,$H46*(1+H$2)-R47),2)</f>
        <v/>
      </c>
      <c r="I47" s="37">
        <f>ROUND(MAX(0,$I46*(1+I$2)-S47),2)</f>
        <v/>
      </c>
      <c r="J47" s="37">
        <f>ROUND(MAX(0,$J46*(1+J$2)-T47),2)</f>
        <v/>
      </c>
      <c r="K47" s="37">
        <f>ROUND(MAX(0,$K46*(1+K$2)-U47),2)</f>
        <v/>
      </c>
      <c r="L47" s="37">
        <f>ROUND(MAX(0,$L46*(1+L$2)-V47),2)</f>
        <v/>
      </c>
      <c r="M47" s="37">
        <f>IF($C46&lt;=0,0,IF($Y47=1,MIN($C46*(1+C$2),MAX(0,$B47-(IF($D46&gt;0,MIN($N$3,$D46*(1+$D$2)),0)+IF($E46&gt;0,MIN($O$3,$E46*(1+$E$2)),0)+IF($F46&gt;0,MIN($P$3,$F46*(1+$F$2)),0)+IF($G46&gt;0,MIN($Q$3,$G46*(1+$G$2)),0)+IF($H46&gt;0,MIN($R$3,$H46*(1+$H$2)),0)+IF($I46&gt;0,MIN($S$3,$I46*(1+$I$2)),0)+IF($J46&gt;0,MIN($T$3,$J46*(1+$J$2)),0)+IF($K46&gt;0,MIN($U$3,$K46*(1+$K$2)),0)+IF($L46&gt;0,MIN($V$3,$L46*(1+$L$2)),0)))),MIN($M$3,$C46*(1+C$2))))</f>
        <v/>
      </c>
      <c r="N47" s="37">
        <f>IF($D46&lt;=0,0,IF($Y47=2,MIN($D46*(1+D$2),MAX(0,$B47-(IF($C46&gt;0,MIN($M$3,$C46*(1+$C$2)),0)+IF($E46&gt;0,MIN($O$3,$E46*(1+$E$2)),0)+IF($F46&gt;0,MIN($P$3,$F46*(1+$F$2)),0)+IF($G46&gt;0,MIN($Q$3,$G46*(1+$G$2)),0)+IF($H46&gt;0,MIN($R$3,$H46*(1+$H$2)),0)+IF($I46&gt;0,MIN($S$3,$I46*(1+$I$2)),0)+IF($J46&gt;0,MIN($T$3,$J46*(1+$J$2)),0)+IF($K46&gt;0,MIN($U$3,$K46*(1+$K$2)),0)+IF($L46&gt;0,MIN($V$3,$L46*(1+$L$2)),0)))),MIN($N$3,$D46*(1+D$2))))</f>
        <v/>
      </c>
      <c r="O47" s="37">
        <f>IF($E46&lt;=0,0,IF($Y47=3,MIN($E46*(1+E$2),MAX(0,$B47-(IF($C46&gt;0,MIN($M$3,$C46*(1+$C$2)),0)+IF($D46&gt;0,MIN($N$3,$D46*(1+$D$2)),0)+IF($F46&gt;0,MIN($P$3,$F46*(1+$F$2)),0)+IF($G46&gt;0,MIN($Q$3,$G46*(1+$G$2)),0)+IF($H46&gt;0,MIN($R$3,$H46*(1+$H$2)),0)+IF($I46&gt;0,MIN($S$3,$I46*(1+$I$2)),0)+IF($J46&gt;0,MIN($T$3,$J46*(1+$J$2)),0)+IF($K46&gt;0,MIN($U$3,$K46*(1+$K$2)),0)+IF($L46&gt;0,MIN($V$3,$L46*(1+$L$2)),0)))),MIN($O$3,$E46*(1+E$2))))</f>
        <v/>
      </c>
      <c r="P47" s="37">
        <f>IF($F46&lt;=0,0,IF($Y47=4,MIN($F46*(1+F$2),MAX(0,$B47-(IF($C46&gt;0,MIN($M$3,$C46*(1+$C$2)),0)+IF($D46&gt;0,MIN($N$3,$D46*(1+$D$2)),0)+IF($E46&gt;0,MIN($O$3,$E46*(1+$E$2)),0)+IF($G46&gt;0,MIN($Q$3,$G46*(1+$G$2)),0)+IF($H46&gt;0,MIN($R$3,$H46*(1+$H$2)),0)+IF($I46&gt;0,MIN($S$3,$I46*(1+$I$2)),0)+IF($J46&gt;0,MIN($T$3,$J46*(1+$J$2)),0)+IF($K46&gt;0,MIN($U$3,$K46*(1+$K$2)),0)+IF($L46&gt;0,MIN($V$3,$L46*(1+$L$2)),0)))),MIN($P$3,$F46*(1+F$2))))</f>
        <v/>
      </c>
      <c r="Q47" s="37">
        <f>IF($G46&lt;=0,0,IF($Y47=5,MIN($G46*(1+G$2),MAX(0,$B47-(IF($C46&gt;0,MIN($M$3,$C46*(1+$C$2)),0)+IF($D46&gt;0,MIN($N$3,$D46*(1+$D$2)),0)+IF($E46&gt;0,MIN($O$3,$E46*(1+$E$2)),0)+IF($F46&gt;0,MIN($P$3,$F46*(1+$F$2)),0)+IF($H46&gt;0,MIN($R$3,$H46*(1+$H$2)),0)+IF($I46&gt;0,MIN($S$3,$I46*(1+$I$2)),0)+IF($J46&gt;0,MIN($T$3,$J46*(1+$J$2)),0)+IF($K46&gt;0,MIN($U$3,$K46*(1+$K$2)),0)+IF($L46&gt;0,MIN($V$3,$L46*(1+$L$2)),0)))),MIN($Q$3,$G46*(1+G$2))))</f>
        <v/>
      </c>
      <c r="R47" s="37">
        <f>IF($H46&lt;=0,0,IF($Y47=6,MIN($H46*(1+H$2),MAX(0,$B47-(IF($C46&gt;0,MIN($M$3,$C46*(1+$C$2)),0)+IF($D46&gt;0,MIN($N$3,$D46*(1+$D$2)),0)+IF($E46&gt;0,MIN($O$3,$E46*(1+$E$2)),0)+IF($F46&gt;0,MIN($P$3,$F46*(1+$F$2)),0)+IF($G46&gt;0,MIN($Q$3,$G46*(1+$G$2)),0)+IF($I46&gt;0,MIN($S$3,$I46*(1+$I$2)),0)+IF($J46&gt;0,MIN($T$3,$J46*(1+$J$2)),0)+IF($K46&gt;0,MIN($U$3,$K46*(1+$K$2)),0)+IF($L46&gt;0,MIN($V$3,$L46*(1+$L$2)),0)))),MIN($R$3,$H46*(1+H$2))))</f>
        <v/>
      </c>
      <c r="S47" s="37">
        <f>IF($I46&lt;=0,0,IF($Y47=7,MIN($I46*(1+I$2),MAX(0,$B47-(IF($C46&gt;0,MIN($M$3,$C46*(1+$C$2)),0)+IF($D46&gt;0,MIN($N$3,$D46*(1+$D$2)),0)+IF($E46&gt;0,MIN($O$3,$E46*(1+$E$2)),0)+IF($F46&gt;0,MIN($P$3,$F46*(1+$F$2)),0)+IF($G46&gt;0,MIN($Q$3,$G46*(1+$G$2)),0)+IF($H46&gt;0,MIN($R$3,$H46*(1+$H$2)),0)+IF($J46&gt;0,MIN($T$3,$J46*(1+$J$2)),0)+IF($K46&gt;0,MIN($U$3,$K46*(1+$K$2)),0)+IF($L46&gt;0,MIN($V$3,$L46*(1+$L$2)),0)))),MIN($S$3,$I46*(1+I$2))))</f>
        <v/>
      </c>
      <c r="T47" s="37">
        <f>IF($J46&lt;=0,0,IF($Y47=8,MIN($J46*(1+J$2),MAX(0,$B47-(IF($C46&gt;0,MIN($M$3,$C46*(1+$C$2)),0)+IF($D46&gt;0,MIN($N$3,$D46*(1+$D$2)),0)+IF($E46&gt;0,MIN($O$3,$E46*(1+$E$2)),0)+IF($F46&gt;0,MIN($P$3,$F46*(1+$F$2)),0)+IF($G46&gt;0,MIN($Q$3,$G46*(1+$G$2)),0)+IF($H46&gt;0,MIN($R$3,$H46*(1+$H$2)),0)+IF($I46&gt;0,MIN($S$3,$I46*(1+$I$2)),0)+IF($K46&gt;0,MIN($U$3,$K46*(1+$K$2)),0)+IF($L46&gt;0,MIN($V$3,$L46*(1+$L$2)),0)))),MIN($T$3,$J46*(1+J$2))))</f>
        <v/>
      </c>
      <c r="U47" s="37">
        <f>IF($K46&lt;=0,0,IF($Y47=9,MIN($K46*(1+K$2),MAX(0,$B47-(IF($C46&gt;0,MIN($M$3,$C46*(1+$C$2)),0)+IF($D46&gt;0,MIN($N$3,$D46*(1+$D$2)),0)+IF($E46&gt;0,MIN($O$3,$E46*(1+$E$2)),0)+IF($F46&gt;0,MIN($P$3,$F46*(1+$F$2)),0)+IF($G46&gt;0,MIN($Q$3,$G46*(1+$G$2)),0)+IF($H46&gt;0,MIN($R$3,$H46*(1+$H$2)),0)+IF($I46&gt;0,MIN($S$3,$I46*(1+$I$2)),0)+IF($J46&gt;0,MIN($T$3,$J46*(1+$J$2)),0)+IF($L46&gt;0,MIN($V$3,$L46*(1+$L$2)),0)))),MIN($U$3,$K46*(1+K$2))))</f>
        <v/>
      </c>
      <c r="V47" s="37">
        <f>IF($L46&lt;=0,0,IF($Y47=10,MIN($L46*(1+L$2),MAX(0,$B47-(IF($C46&gt;0,MIN($M$3,$C46*(1+$C$2)),0)+IF($D46&gt;0,MIN($N$3,$D46*(1+$D$2)),0)+IF($E46&gt;0,MIN($O$3,$E46*(1+$E$2)),0)+IF($F46&gt;0,MIN($P$3,$F46*(1+$F$2)),0)+IF($G46&gt;0,MIN($Q$3,$G46*(1+$G$2)),0)+IF($H46&gt;0,MIN($R$3,$H46*(1+$H$2)),0)+IF($I46&gt;0,MIN($S$3,$I46*(1+$I$2)),0)+IF($J46&gt;0,MIN($T$3,$J46*(1+$J$2)),0)+IF($K46&gt;0,MIN($U$3,$K46*(1+$K$2)),0)))),MIN($V$3,$L46*(1+L$2))))</f>
        <v/>
      </c>
      <c r="W47" s="37">
        <f>ROUND(SUMPRODUCT($C46:$L46,$C$2:$L$2),2)</f>
        <v/>
      </c>
      <c r="X47" s="37">
        <f>SUM($C47:$L47)</f>
        <v/>
      </c>
      <c r="Y47" s="42">
        <f>IF($X46=0,"",MIN(IF($C46&gt;0,1,'My Debts'!$B$13+1),IF($D46&gt;0,2,'My Debts'!$B$13+1),IF($E46&gt;0,3,'My Debts'!$B$13+1),IF($F46&gt;0,4,'My Debts'!$B$13+1),IF($G46&gt;0,5,'My Debts'!$B$13+1),IF($H46&gt;0,6,'My Debts'!$B$13+1),IF($I46&gt;0,7,'My Debts'!$B$13+1),IF($J46&gt;0,8,'My Debts'!$B$13+1),IF($K46&gt;0,9,'My Debts'!$B$13+1),IF($L46&gt;0,10,'My Debts'!$B$13+1)))</f>
        <v/>
      </c>
    </row>
    <row r="48" ht="18" customHeight="1" s="44">
      <c r="A48" s="42" t="n">
        <v>43</v>
      </c>
      <c r="B48" s="37">
        <f>IF($X47&gt;0,'My Debts'!$B$8,0)</f>
        <v/>
      </c>
      <c r="C48" s="37">
        <f>ROUND(MAX(0,$C47*(1+C$2)-M48),2)</f>
        <v/>
      </c>
      <c r="D48" s="37">
        <f>ROUND(MAX(0,$D47*(1+D$2)-N48),2)</f>
        <v/>
      </c>
      <c r="E48" s="37">
        <f>ROUND(MAX(0,$E47*(1+E$2)-O48),2)</f>
        <v/>
      </c>
      <c r="F48" s="37">
        <f>ROUND(MAX(0,$F47*(1+F$2)-P48),2)</f>
        <v/>
      </c>
      <c r="G48" s="37">
        <f>ROUND(MAX(0,$G47*(1+G$2)-Q48),2)</f>
        <v/>
      </c>
      <c r="H48" s="37">
        <f>ROUND(MAX(0,$H47*(1+H$2)-R48),2)</f>
        <v/>
      </c>
      <c r="I48" s="37">
        <f>ROUND(MAX(0,$I47*(1+I$2)-S48),2)</f>
        <v/>
      </c>
      <c r="J48" s="37">
        <f>ROUND(MAX(0,$J47*(1+J$2)-T48),2)</f>
        <v/>
      </c>
      <c r="K48" s="37">
        <f>ROUND(MAX(0,$K47*(1+K$2)-U48),2)</f>
        <v/>
      </c>
      <c r="L48" s="37">
        <f>ROUND(MAX(0,$L47*(1+L$2)-V48),2)</f>
        <v/>
      </c>
      <c r="M48" s="37">
        <f>IF($C47&lt;=0,0,IF($Y48=1,MIN($C47*(1+C$2),MAX(0,$B48-(IF($D47&gt;0,MIN($N$3,$D47*(1+$D$2)),0)+IF($E47&gt;0,MIN($O$3,$E47*(1+$E$2)),0)+IF($F47&gt;0,MIN($P$3,$F47*(1+$F$2)),0)+IF($G47&gt;0,MIN($Q$3,$G47*(1+$G$2)),0)+IF($H47&gt;0,MIN($R$3,$H47*(1+$H$2)),0)+IF($I47&gt;0,MIN($S$3,$I47*(1+$I$2)),0)+IF($J47&gt;0,MIN($T$3,$J47*(1+$J$2)),0)+IF($K47&gt;0,MIN($U$3,$K47*(1+$K$2)),0)+IF($L47&gt;0,MIN($V$3,$L47*(1+$L$2)),0)))),MIN($M$3,$C47*(1+C$2))))</f>
        <v/>
      </c>
      <c r="N48" s="37">
        <f>IF($D47&lt;=0,0,IF($Y48=2,MIN($D47*(1+D$2),MAX(0,$B48-(IF($C47&gt;0,MIN($M$3,$C47*(1+$C$2)),0)+IF($E47&gt;0,MIN($O$3,$E47*(1+$E$2)),0)+IF($F47&gt;0,MIN($P$3,$F47*(1+$F$2)),0)+IF($G47&gt;0,MIN($Q$3,$G47*(1+$G$2)),0)+IF($H47&gt;0,MIN($R$3,$H47*(1+$H$2)),0)+IF($I47&gt;0,MIN($S$3,$I47*(1+$I$2)),0)+IF($J47&gt;0,MIN($T$3,$J47*(1+$J$2)),0)+IF($K47&gt;0,MIN($U$3,$K47*(1+$K$2)),0)+IF($L47&gt;0,MIN($V$3,$L47*(1+$L$2)),0)))),MIN($N$3,$D47*(1+D$2))))</f>
        <v/>
      </c>
      <c r="O48" s="37">
        <f>IF($E47&lt;=0,0,IF($Y48=3,MIN($E47*(1+E$2),MAX(0,$B48-(IF($C47&gt;0,MIN($M$3,$C47*(1+$C$2)),0)+IF($D47&gt;0,MIN($N$3,$D47*(1+$D$2)),0)+IF($F47&gt;0,MIN($P$3,$F47*(1+$F$2)),0)+IF($G47&gt;0,MIN($Q$3,$G47*(1+$G$2)),0)+IF($H47&gt;0,MIN($R$3,$H47*(1+$H$2)),0)+IF($I47&gt;0,MIN($S$3,$I47*(1+$I$2)),0)+IF($J47&gt;0,MIN($T$3,$J47*(1+$J$2)),0)+IF($K47&gt;0,MIN($U$3,$K47*(1+$K$2)),0)+IF($L47&gt;0,MIN($V$3,$L47*(1+$L$2)),0)))),MIN($O$3,$E47*(1+E$2))))</f>
        <v/>
      </c>
      <c r="P48" s="37">
        <f>IF($F47&lt;=0,0,IF($Y48=4,MIN($F47*(1+F$2),MAX(0,$B48-(IF($C47&gt;0,MIN($M$3,$C47*(1+$C$2)),0)+IF($D47&gt;0,MIN($N$3,$D47*(1+$D$2)),0)+IF($E47&gt;0,MIN($O$3,$E47*(1+$E$2)),0)+IF($G47&gt;0,MIN($Q$3,$G47*(1+$G$2)),0)+IF($H47&gt;0,MIN($R$3,$H47*(1+$H$2)),0)+IF($I47&gt;0,MIN($S$3,$I47*(1+$I$2)),0)+IF($J47&gt;0,MIN($T$3,$J47*(1+$J$2)),0)+IF($K47&gt;0,MIN($U$3,$K47*(1+$K$2)),0)+IF($L47&gt;0,MIN($V$3,$L47*(1+$L$2)),0)))),MIN($P$3,$F47*(1+F$2))))</f>
        <v/>
      </c>
      <c r="Q48" s="37">
        <f>IF($G47&lt;=0,0,IF($Y48=5,MIN($G47*(1+G$2),MAX(0,$B48-(IF($C47&gt;0,MIN($M$3,$C47*(1+$C$2)),0)+IF($D47&gt;0,MIN($N$3,$D47*(1+$D$2)),0)+IF($E47&gt;0,MIN($O$3,$E47*(1+$E$2)),0)+IF($F47&gt;0,MIN($P$3,$F47*(1+$F$2)),0)+IF($H47&gt;0,MIN($R$3,$H47*(1+$H$2)),0)+IF($I47&gt;0,MIN($S$3,$I47*(1+$I$2)),0)+IF($J47&gt;0,MIN($T$3,$J47*(1+$J$2)),0)+IF($K47&gt;0,MIN($U$3,$K47*(1+$K$2)),0)+IF($L47&gt;0,MIN($V$3,$L47*(1+$L$2)),0)))),MIN($Q$3,$G47*(1+G$2))))</f>
        <v/>
      </c>
      <c r="R48" s="37">
        <f>IF($H47&lt;=0,0,IF($Y48=6,MIN($H47*(1+H$2),MAX(0,$B48-(IF($C47&gt;0,MIN($M$3,$C47*(1+$C$2)),0)+IF($D47&gt;0,MIN($N$3,$D47*(1+$D$2)),0)+IF($E47&gt;0,MIN($O$3,$E47*(1+$E$2)),0)+IF($F47&gt;0,MIN($P$3,$F47*(1+$F$2)),0)+IF($G47&gt;0,MIN($Q$3,$G47*(1+$G$2)),0)+IF($I47&gt;0,MIN($S$3,$I47*(1+$I$2)),0)+IF($J47&gt;0,MIN($T$3,$J47*(1+$J$2)),0)+IF($K47&gt;0,MIN($U$3,$K47*(1+$K$2)),0)+IF($L47&gt;0,MIN($V$3,$L47*(1+$L$2)),0)))),MIN($R$3,$H47*(1+H$2))))</f>
        <v/>
      </c>
      <c r="S48" s="37">
        <f>IF($I47&lt;=0,0,IF($Y48=7,MIN($I47*(1+I$2),MAX(0,$B48-(IF($C47&gt;0,MIN($M$3,$C47*(1+$C$2)),0)+IF($D47&gt;0,MIN($N$3,$D47*(1+$D$2)),0)+IF($E47&gt;0,MIN($O$3,$E47*(1+$E$2)),0)+IF($F47&gt;0,MIN($P$3,$F47*(1+$F$2)),0)+IF($G47&gt;0,MIN($Q$3,$G47*(1+$G$2)),0)+IF($H47&gt;0,MIN($R$3,$H47*(1+$H$2)),0)+IF($J47&gt;0,MIN($T$3,$J47*(1+$J$2)),0)+IF($K47&gt;0,MIN($U$3,$K47*(1+$K$2)),0)+IF($L47&gt;0,MIN($V$3,$L47*(1+$L$2)),0)))),MIN($S$3,$I47*(1+I$2))))</f>
        <v/>
      </c>
      <c r="T48" s="37">
        <f>IF($J47&lt;=0,0,IF($Y48=8,MIN($J47*(1+J$2),MAX(0,$B48-(IF($C47&gt;0,MIN($M$3,$C47*(1+$C$2)),0)+IF($D47&gt;0,MIN($N$3,$D47*(1+$D$2)),0)+IF($E47&gt;0,MIN($O$3,$E47*(1+$E$2)),0)+IF($F47&gt;0,MIN($P$3,$F47*(1+$F$2)),0)+IF($G47&gt;0,MIN($Q$3,$G47*(1+$G$2)),0)+IF($H47&gt;0,MIN($R$3,$H47*(1+$H$2)),0)+IF($I47&gt;0,MIN($S$3,$I47*(1+$I$2)),0)+IF($K47&gt;0,MIN($U$3,$K47*(1+$K$2)),0)+IF($L47&gt;0,MIN($V$3,$L47*(1+$L$2)),0)))),MIN($T$3,$J47*(1+J$2))))</f>
        <v/>
      </c>
      <c r="U48" s="37">
        <f>IF($K47&lt;=0,0,IF($Y48=9,MIN($K47*(1+K$2),MAX(0,$B48-(IF($C47&gt;0,MIN($M$3,$C47*(1+$C$2)),0)+IF($D47&gt;0,MIN($N$3,$D47*(1+$D$2)),0)+IF($E47&gt;0,MIN($O$3,$E47*(1+$E$2)),0)+IF($F47&gt;0,MIN($P$3,$F47*(1+$F$2)),0)+IF($G47&gt;0,MIN($Q$3,$G47*(1+$G$2)),0)+IF($H47&gt;0,MIN($R$3,$H47*(1+$H$2)),0)+IF($I47&gt;0,MIN($S$3,$I47*(1+$I$2)),0)+IF($J47&gt;0,MIN($T$3,$J47*(1+$J$2)),0)+IF($L47&gt;0,MIN($V$3,$L47*(1+$L$2)),0)))),MIN($U$3,$K47*(1+K$2))))</f>
        <v/>
      </c>
      <c r="V48" s="37">
        <f>IF($L47&lt;=0,0,IF($Y48=10,MIN($L47*(1+L$2),MAX(0,$B48-(IF($C47&gt;0,MIN($M$3,$C47*(1+$C$2)),0)+IF($D47&gt;0,MIN($N$3,$D47*(1+$D$2)),0)+IF($E47&gt;0,MIN($O$3,$E47*(1+$E$2)),0)+IF($F47&gt;0,MIN($P$3,$F47*(1+$F$2)),0)+IF($G47&gt;0,MIN($Q$3,$G47*(1+$G$2)),0)+IF($H47&gt;0,MIN($R$3,$H47*(1+$H$2)),0)+IF($I47&gt;0,MIN($S$3,$I47*(1+$I$2)),0)+IF($J47&gt;0,MIN($T$3,$J47*(1+$J$2)),0)+IF($K47&gt;0,MIN($U$3,$K47*(1+$K$2)),0)))),MIN($V$3,$L47*(1+L$2))))</f>
        <v/>
      </c>
      <c r="W48" s="37">
        <f>ROUND(SUMPRODUCT($C47:$L47,$C$2:$L$2),2)</f>
        <v/>
      </c>
      <c r="X48" s="37">
        <f>SUM($C48:$L48)</f>
        <v/>
      </c>
      <c r="Y48" s="42">
        <f>IF($X47=0,"",MIN(IF($C47&gt;0,1,'My Debts'!$B$13+1),IF($D47&gt;0,2,'My Debts'!$B$13+1),IF($E47&gt;0,3,'My Debts'!$B$13+1),IF($F47&gt;0,4,'My Debts'!$B$13+1),IF($G47&gt;0,5,'My Debts'!$B$13+1),IF($H47&gt;0,6,'My Debts'!$B$13+1),IF($I47&gt;0,7,'My Debts'!$B$13+1),IF($J47&gt;0,8,'My Debts'!$B$13+1),IF($K47&gt;0,9,'My Debts'!$B$13+1),IF($L47&gt;0,10,'My Debts'!$B$13+1)))</f>
        <v/>
      </c>
    </row>
    <row r="49" ht="18" customHeight="1" s="44">
      <c r="A49" s="42" t="n">
        <v>44</v>
      </c>
      <c r="B49" s="37">
        <f>IF($X48&gt;0,'My Debts'!$B$8,0)</f>
        <v/>
      </c>
      <c r="C49" s="37">
        <f>ROUND(MAX(0,$C48*(1+C$2)-M49),2)</f>
        <v/>
      </c>
      <c r="D49" s="37">
        <f>ROUND(MAX(0,$D48*(1+D$2)-N49),2)</f>
        <v/>
      </c>
      <c r="E49" s="37">
        <f>ROUND(MAX(0,$E48*(1+E$2)-O49),2)</f>
        <v/>
      </c>
      <c r="F49" s="37">
        <f>ROUND(MAX(0,$F48*(1+F$2)-P49),2)</f>
        <v/>
      </c>
      <c r="G49" s="37">
        <f>ROUND(MAX(0,$G48*(1+G$2)-Q49),2)</f>
        <v/>
      </c>
      <c r="H49" s="37">
        <f>ROUND(MAX(0,$H48*(1+H$2)-R49),2)</f>
        <v/>
      </c>
      <c r="I49" s="37">
        <f>ROUND(MAX(0,$I48*(1+I$2)-S49),2)</f>
        <v/>
      </c>
      <c r="J49" s="37">
        <f>ROUND(MAX(0,$J48*(1+J$2)-T49),2)</f>
        <v/>
      </c>
      <c r="K49" s="37">
        <f>ROUND(MAX(0,$K48*(1+K$2)-U49),2)</f>
        <v/>
      </c>
      <c r="L49" s="37">
        <f>ROUND(MAX(0,$L48*(1+L$2)-V49),2)</f>
        <v/>
      </c>
      <c r="M49" s="37">
        <f>IF($C48&lt;=0,0,IF($Y49=1,MIN($C48*(1+C$2),MAX(0,$B49-(IF($D48&gt;0,MIN($N$3,$D48*(1+$D$2)),0)+IF($E48&gt;0,MIN($O$3,$E48*(1+$E$2)),0)+IF($F48&gt;0,MIN($P$3,$F48*(1+$F$2)),0)+IF($G48&gt;0,MIN($Q$3,$G48*(1+$G$2)),0)+IF($H48&gt;0,MIN($R$3,$H48*(1+$H$2)),0)+IF($I48&gt;0,MIN($S$3,$I48*(1+$I$2)),0)+IF($J48&gt;0,MIN($T$3,$J48*(1+$J$2)),0)+IF($K48&gt;0,MIN($U$3,$K48*(1+$K$2)),0)+IF($L48&gt;0,MIN($V$3,$L48*(1+$L$2)),0)))),MIN($M$3,$C48*(1+C$2))))</f>
        <v/>
      </c>
      <c r="N49" s="37">
        <f>IF($D48&lt;=0,0,IF($Y49=2,MIN($D48*(1+D$2),MAX(0,$B49-(IF($C48&gt;0,MIN($M$3,$C48*(1+$C$2)),0)+IF($E48&gt;0,MIN($O$3,$E48*(1+$E$2)),0)+IF($F48&gt;0,MIN($P$3,$F48*(1+$F$2)),0)+IF($G48&gt;0,MIN($Q$3,$G48*(1+$G$2)),0)+IF($H48&gt;0,MIN($R$3,$H48*(1+$H$2)),0)+IF($I48&gt;0,MIN($S$3,$I48*(1+$I$2)),0)+IF($J48&gt;0,MIN($T$3,$J48*(1+$J$2)),0)+IF($K48&gt;0,MIN($U$3,$K48*(1+$K$2)),0)+IF($L48&gt;0,MIN($V$3,$L48*(1+$L$2)),0)))),MIN($N$3,$D48*(1+D$2))))</f>
        <v/>
      </c>
      <c r="O49" s="37">
        <f>IF($E48&lt;=0,0,IF($Y49=3,MIN($E48*(1+E$2),MAX(0,$B49-(IF($C48&gt;0,MIN($M$3,$C48*(1+$C$2)),0)+IF($D48&gt;0,MIN($N$3,$D48*(1+$D$2)),0)+IF($F48&gt;0,MIN($P$3,$F48*(1+$F$2)),0)+IF($G48&gt;0,MIN($Q$3,$G48*(1+$G$2)),0)+IF($H48&gt;0,MIN($R$3,$H48*(1+$H$2)),0)+IF($I48&gt;0,MIN($S$3,$I48*(1+$I$2)),0)+IF($J48&gt;0,MIN($T$3,$J48*(1+$J$2)),0)+IF($K48&gt;0,MIN($U$3,$K48*(1+$K$2)),0)+IF($L48&gt;0,MIN($V$3,$L48*(1+$L$2)),0)))),MIN($O$3,$E48*(1+E$2))))</f>
        <v/>
      </c>
      <c r="P49" s="37">
        <f>IF($F48&lt;=0,0,IF($Y49=4,MIN($F48*(1+F$2),MAX(0,$B49-(IF($C48&gt;0,MIN($M$3,$C48*(1+$C$2)),0)+IF($D48&gt;0,MIN($N$3,$D48*(1+$D$2)),0)+IF($E48&gt;0,MIN($O$3,$E48*(1+$E$2)),0)+IF($G48&gt;0,MIN($Q$3,$G48*(1+$G$2)),0)+IF($H48&gt;0,MIN($R$3,$H48*(1+$H$2)),0)+IF($I48&gt;0,MIN($S$3,$I48*(1+$I$2)),0)+IF($J48&gt;0,MIN($T$3,$J48*(1+$J$2)),0)+IF($K48&gt;0,MIN($U$3,$K48*(1+$K$2)),0)+IF($L48&gt;0,MIN($V$3,$L48*(1+$L$2)),0)))),MIN($P$3,$F48*(1+F$2))))</f>
        <v/>
      </c>
      <c r="Q49" s="37">
        <f>IF($G48&lt;=0,0,IF($Y49=5,MIN($G48*(1+G$2),MAX(0,$B49-(IF($C48&gt;0,MIN($M$3,$C48*(1+$C$2)),0)+IF($D48&gt;0,MIN($N$3,$D48*(1+$D$2)),0)+IF($E48&gt;0,MIN($O$3,$E48*(1+$E$2)),0)+IF($F48&gt;0,MIN($P$3,$F48*(1+$F$2)),0)+IF($H48&gt;0,MIN($R$3,$H48*(1+$H$2)),0)+IF($I48&gt;0,MIN($S$3,$I48*(1+$I$2)),0)+IF($J48&gt;0,MIN($T$3,$J48*(1+$J$2)),0)+IF($K48&gt;0,MIN($U$3,$K48*(1+$K$2)),0)+IF($L48&gt;0,MIN($V$3,$L48*(1+$L$2)),0)))),MIN($Q$3,$G48*(1+G$2))))</f>
        <v/>
      </c>
      <c r="R49" s="37">
        <f>IF($H48&lt;=0,0,IF($Y49=6,MIN($H48*(1+H$2),MAX(0,$B49-(IF($C48&gt;0,MIN($M$3,$C48*(1+$C$2)),0)+IF($D48&gt;0,MIN($N$3,$D48*(1+$D$2)),0)+IF($E48&gt;0,MIN($O$3,$E48*(1+$E$2)),0)+IF($F48&gt;0,MIN($P$3,$F48*(1+$F$2)),0)+IF($G48&gt;0,MIN($Q$3,$G48*(1+$G$2)),0)+IF($I48&gt;0,MIN($S$3,$I48*(1+$I$2)),0)+IF($J48&gt;0,MIN($T$3,$J48*(1+$J$2)),0)+IF($K48&gt;0,MIN($U$3,$K48*(1+$K$2)),0)+IF($L48&gt;0,MIN($V$3,$L48*(1+$L$2)),0)))),MIN($R$3,$H48*(1+H$2))))</f>
        <v/>
      </c>
      <c r="S49" s="37">
        <f>IF($I48&lt;=0,0,IF($Y49=7,MIN($I48*(1+I$2),MAX(0,$B49-(IF($C48&gt;0,MIN($M$3,$C48*(1+$C$2)),0)+IF($D48&gt;0,MIN($N$3,$D48*(1+$D$2)),0)+IF($E48&gt;0,MIN($O$3,$E48*(1+$E$2)),0)+IF($F48&gt;0,MIN($P$3,$F48*(1+$F$2)),0)+IF($G48&gt;0,MIN($Q$3,$G48*(1+$G$2)),0)+IF($H48&gt;0,MIN($R$3,$H48*(1+$H$2)),0)+IF($J48&gt;0,MIN($T$3,$J48*(1+$J$2)),0)+IF($K48&gt;0,MIN($U$3,$K48*(1+$K$2)),0)+IF($L48&gt;0,MIN($V$3,$L48*(1+$L$2)),0)))),MIN($S$3,$I48*(1+I$2))))</f>
        <v/>
      </c>
      <c r="T49" s="37">
        <f>IF($J48&lt;=0,0,IF($Y49=8,MIN($J48*(1+J$2),MAX(0,$B49-(IF($C48&gt;0,MIN($M$3,$C48*(1+$C$2)),0)+IF($D48&gt;0,MIN($N$3,$D48*(1+$D$2)),0)+IF($E48&gt;0,MIN($O$3,$E48*(1+$E$2)),0)+IF($F48&gt;0,MIN($P$3,$F48*(1+$F$2)),0)+IF($G48&gt;0,MIN($Q$3,$G48*(1+$G$2)),0)+IF($H48&gt;0,MIN($R$3,$H48*(1+$H$2)),0)+IF($I48&gt;0,MIN($S$3,$I48*(1+$I$2)),0)+IF($K48&gt;0,MIN($U$3,$K48*(1+$K$2)),0)+IF($L48&gt;0,MIN($V$3,$L48*(1+$L$2)),0)))),MIN($T$3,$J48*(1+J$2))))</f>
        <v/>
      </c>
      <c r="U49" s="37">
        <f>IF($K48&lt;=0,0,IF($Y49=9,MIN($K48*(1+K$2),MAX(0,$B49-(IF($C48&gt;0,MIN($M$3,$C48*(1+$C$2)),0)+IF($D48&gt;0,MIN($N$3,$D48*(1+$D$2)),0)+IF($E48&gt;0,MIN($O$3,$E48*(1+$E$2)),0)+IF($F48&gt;0,MIN($P$3,$F48*(1+$F$2)),0)+IF($G48&gt;0,MIN($Q$3,$G48*(1+$G$2)),0)+IF($H48&gt;0,MIN($R$3,$H48*(1+$H$2)),0)+IF($I48&gt;0,MIN($S$3,$I48*(1+$I$2)),0)+IF($J48&gt;0,MIN($T$3,$J48*(1+$J$2)),0)+IF($L48&gt;0,MIN($V$3,$L48*(1+$L$2)),0)))),MIN($U$3,$K48*(1+K$2))))</f>
        <v/>
      </c>
      <c r="V49" s="37">
        <f>IF($L48&lt;=0,0,IF($Y49=10,MIN($L48*(1+L$2),MAX(0,$B49-(IF($C48&gt;0,MIN($M$3,$C48*(1+$C$2)),0)+IF($D48&gt;0,MIN($N$3,$D48*(1+$D$2)),0)+IF($E48&gt;0,MIN($O$3,$E48*(1+$E$2)),0)+IF($F48&gt;0,MIN($P$3,$F48*(1+$F$2)),0)+IF($G48&gt;0,MIN($Q$3,$G48*(1+$G$2)),0)+IF($H48&gt;0,MIN($R$3,$H48*(1+$H$2)),0)+IF($I48&gt;0,MIN($S$3,$I48*(1+$I$2)),0)+IF($J48&gt;0,MIN($T$3,$J48*(1+$J$2)),0)+IF($K48&gt;0,MIN($U$3,$K48*(1+$K$2)),0)))),MIN($V$3,$L48*(1+L$2))))</f>
        <v/>
      </c>
      <c r="W49" s="37">
        <f>ROUND(SUMPRODUCT($C48:$L48,$C$2:$L$2),2)</f>
        <v/>
      </c>
      <c r="X49" s="37">
        <f>SUM($C49:$L49)</f>
        <v/>
      </c>
      <c r="Y49" s="42">
        <f>IF($X48=0,"",MIN(IF($C48&gt;0,1,'My Debts'!$B$13+1),IF($D48&gt;0,2,'My Debts'!$B$13+1),IF($E48&gt;0,3,'My Debts'!$B$13+1),IF($F48&gt;0,4,'My Debts'!$B$13+1),IF($G48&gt;0,5,'My Debts'!$B$13+1),IF($H48&gt;0,6,'My Debts'!$B$13+1),IF($I48&gt;0,7,'My Debts'!$B$13+1),IF($J48&gt;0,8,'My Debts'!$B$13+1),IF($K48&gt;0,9,'My Debts'!$B$13+1),IF($L48&gt;0,10,'My Debts'!$B$13+1)))</f>
        <v/>
      </c>
    </row>
    <row r="50" ht="18" customHeight="1" s="44">
      <c r="A50" s="42" t="n">
        <v>45</v>
      </c>
      <c r="B50" s="37">
        <f>IF($X49&gt;0,'My Debts'!$B$8,0)</f>
        <v/>
      </c>
      <c r="C50" s="37">
        <f>ROUND(MAX(0,$C49*(1+C$2)-M50),2)</f>
        <v/>
      </c>
      <c r="D50" s="37">
        <f>ROUND(MAX(0,$D49*(1+D$2)-N50),2)</f>
        <v/>
      </c>
      <c r="E50" s="37">
        <f>ROUND(MAX(0,$E49*(1+E$2)-O50),2)</f>
        <v/>
      </c>
      <c r="F50" s="37">
        <f>ROUND(MAX(0,$F49*(1+F$2)-P50),2)</f>
        <v/>
      </c>
      <c r="G50" s="37">
        <f>ROUND(MAX(0,$G49*(1+G$2)-Q50),2)</f>
        <v/>
      </c>
      <c r="H50" s="37">
        <f>ROUND(MAX(0,$H49*(1+H$2)-R50),2)</f>
        <v/>
      </c>
      <c r="I50" s="37">
        <f>ROUND(MAX(0,$I49*(1+I$2)-S50),2)</f>
        <v/>
      </c>
      <c r="J50" s="37">
        <f>ROUND(MAX(0,$J49*(1+J$2)-T50),2)</f>
        <v/>
      </c>
      <c r="K50" s="37">
        <f>ROUND(MAX(0,$K49*(1+K$2)-U50),2)</f>
        <v/>
      </c>
      <c r="L50" s="37">
        <f>ROUND(MAX(0,$L49*(1+L$2)-V50),2)</f>
        <v/>
      </c>
      <c r="M50" s="37">
        <f>IF($C49&lt;=0,0,IF($Y50=1,MIN($C49*(1+C$2),MAX(0,$B50-(IF($D49&gt;0,MIN($N$3,$D49*(1+$D$2)),0)+IF($E49&gt;0,MIN($O$3,$E49*(1+$E$2)),0)+IF($F49&gt;0,MIN($P$3,$F49*(1+$F$2)),0)+IF($G49&gt;0,MIN($Q$3,$G49*(1+$G$2)),0)+IF($H49&gt;0,MIN($R$3,$H49*(1+$H$2)),0)+IF($I49&gt;0,MIN($S$3,$I49*(1+$I$2)),0)+IF($J49&gt;0,MIN($T$3,$J49*(1+$J$2)),0)+IF($K49&gt;0,MIN($U$3,$K49*(1+$K$2)),0)+IF($L49&gt;0,MIN($V$3,$L49*(1+$L$2)),0)))),MIN($M$3,$C49*(1+C$2))))</f>
        <v/>
      </c>
      <c r="N50" s="37">
        <f>IF($D49&lt;=0,0,IF($Y50=2,MIN($D49*(1+D$2),MAX(0,$B50-(IF($C49&gt;0,MIN($M$3,$C49*(1+$C$2)),0)+IF($E49&gt;0,MIN($O$3,$E49*(1+$E$2)),0)+IF($F49&gt;0,MIN($P$3,$F49*(1+$F$2)),0)+IF($G49&gt;0,MIN($Q$3,$G49*(1+$G$2)),0)+IF($H49&gt;0,MIN($R$3,$H49*(1+$H$2)),0)+IF($I49&gt;0,MIN($S$3,$I49*(1+$I$2)),0)+IF($J49&gt;0,MIN($T$3,$J49*(1+$J$2)),0)+IF($K49&gt;0,MIN($U$3,$K49*(1+$K$2)),0)+IF($L49&gt;0,MIN($V$3,$L49*(1+$L$2)),0)))),MIN($N$3,$D49*(1+D$2))))</f>
        <v/>
      </c>
      <c r="O50" s="37">
        <f>IF($E49&lt;=0,0,IF($Y50=3,MIN($E49*(1+E$2),MAX(0,$B50-(IF($C49&gt;0,MIN($M$3,$C49*(1+$C$2)),0)+IF($D49&gt;0,MIN($N$3,$D49*(1+$D$2)),0)+IF($F49&gt;0,MIN($P$3,$F49*(1+$F$2)),0)+IF($G49&gt;0,MIN($Q$3,$G49*(1+$G$2)),0)+IF($H49&gt;0,MIN($R$3,$H49*(1+$H$2)),0)+IF($I49&gt;0,MIN($S$3,$I49*(1+$I$2)),0)+IF($J49&gt;0,MIN($T$3,$J49*(1+$J$2)),0)+IF($K49&gt;0,MIN($U$3,$K49*(1+$K$2)),0)+IF($L49&gt;0,MIN($V$3,$L49*(1+$L$2)),0)))),MIN($O$3,$E49*(1+E$2))))</f>
        <v/>
      </c>
      <c r="P50" s="37">
        <f>IF($F49&lt;=0,0,IF($Y50=4,MIN($F49*(1+F$2),MAX(0,$B50-(IF($C49&gt;0,MIN($M$3,$C49*(1+$C$2)),0)+IF($D49&gt;0,MIN($N$3,$D49*(1+$D$2)),0)+IF($E49&gt;0,MIN($O$3,$E49*(1+$E$2)),0)+IF($G49&gt;0,MIN($Q$3,$G49*(1+$G$2)),0)+IF($H49&gt;0,MIN($R$3,$H49*(1+$H$2)),0)+IF($I49&gt;0,MIN($S$3,$I49*(1+$I$2)),0)+IF($J49&gt;0,MIN($T$3,$J49*(1+$J$2)),0)+IF($K49&gt;0,MIN($U$3,$K49*(1+$K$2)),0)+IF($L49&gt;0,MIN($V$3,$L49*(1+$L$2)),0)))),MIN($P$3,$F49*(1+F$2))))</f>
        <v/>
      </c>
      <c r="Q50" s="37">
        <f>IF($G49&lt;=0,0,IF($Y50=5,MIN($G49*(1+G$2),MAX(0,$B50-(IF($C49&gt;0,MIN($M$3,$C49*(1+$C$2)),0)+IF($D49&gt;0,MIN($N$3,$D49*(1+$D$2)),0)+IF($E49&gt;0,MIN($O$3,$E49*(1+$E$2)),0)+IF($F49&gt;0,MIN($P$3,$F49*(1+$F$2)),0)+IF($H49&gt;0,MIN($R$3,$H49*(1+$H$2)),0)+IF($I49&gt;0,MIN($S$3,$I49*(1+$I$2)),0)+IF($J49&gt;0,MIN($T$3,$J49*(1+$J$2)),0)+IF($K49&gt;0,MIN($U$3,$K49*(1+$K$2)),0)+IF($L49&gt;0,MIN($V$3,$L49*(1+$L$2)),0)))),MIN($Q$3,$G49*(1+G$2))))</f>
        <v/>
      </c>
      <c r="R50" s="37">
        <f>IF($H49&lt;=0,0,IF($Y50=6,MIN($H49*(1+H$2),MAX(0,$B50-(IF($C49&gt;0,MIN($M$3,$C49*(1+$C$2)),0)+IF($D49&gt;0,MIN($N$3,$D49*(1+$D$2)),0)+IF($E49&gt;0,MIN($O$3,$E49*(1+$E$2)),0)+IF($F49&gt;0,MIN($P$3,$F49*(1+$F$2)),0)+IF($G49&gt;0,MIN($Q$3,$G49*(1+$G$2)),0)+IF($I49&gt;0,MIN($S$3,$I49*(1+$I$2)),0)+IF($J49&gt;0,MIN($T$3,$J49*(1+$J$2)),0)+IF($K49&gt;0,MIN($U$3,$K49*(1+$K$2)),0)+IF($L49&gt;0,MIN($V$3,$L49*(1+$L$2)),0)))),MIN($R$3,$H49*(1+H$2))))</f>
        <v/>
      </c>
      <c r="S50" s="37">
        <f>IF($I49&lt;=0,0,IF($Y50=7,MIN($I49*(1+I$2),MAX(0,$B50-(IF($C49&gt;0,MIN($M$3,$C49*(1+$C$2)),0)+IF($D49&gt;0,MIN($N$3,$D49*(1+$D$2)),0)+IF($E49&gt;0,MIN($O$3,$E49*(1+$E$2)),0)+IF($F49&gt;0,MIN($P$3,$F49*(1+$F$2)),0)+IF($G49&gt;0,MIN($Q$3,$G49*(1+$G$2)),0)+IF($H49&gt;0,MIN($R$3,$H49*(1+$H$2)),0)+IF($J49&gt;0,MIN($T$3,$J49*(1+$J$2)),0)+IF($K49&gt;0,MIN($U$3,$K49*(1+$K$2)),0)+IF($L49&gt;0,MIN($V$3,$L49*(1+$L$2)),0)))),MIN($S$3,$I49*(1+I$2))))</f>
        <v/>
      </c>
      <c r="T50" s="37">
        <f>IF($J49&lt;=0,0,IF($Y50=8,MIN($J49*(1+J$2),MAX(0,$B50-(IF($C49&gt;0,MIN($M$3,$C49*(1+$C$2)),0)+IF($D49&gt;0,MIN($N$3,$D49*(1+$D$2)),0)+IF($E49&gt;0,MIN($O$3,$E49*(1+$E$2)),0)+IF($F49&gt;0,MIN($P$3,$F49*(1+$F$2)),0)+IF($G49&gt;0,MIN($Q$3,$G49*(1+$G$2)),0)+IF($H49&gt;0,MIN($R$3,$H49*(1+$H$2)),0)+IF($I49&gt;0,MIN($S$3,$I49*(1+$I$2)),0)+IF($K49&gt;0,MIN($U$3,$K49*(1+$K$2)),0)+IF($L49&gt;0,MIN($V$3,$L49*(1+$L$2)),0)))),MIN($T$3,$J49*(1+J$2))))</f>
        <v/>
      </c>
      <c r="U50" s="37">
        <f>IF($K49&lt;=0,0,IF($Y50=9,MIN($K49*(1+K$2),MAX(0,$B50-(IF($C49&gt;0,MIN($M$3,$C49*(1+$C$2)),0)+IF($D49&gt;0,MIN($N$3,$D49*(1+$D$2)),0)+IF($E49&gt;0,MIN($O$3,$E49*(1+$E$2)),0)+IF($F49&gt;0,MIN($P$3,$F49*(1+$F$2)),0)+IF($G49&gt;0,MIN($Q$3,$G49*(1+$G$2)),0)+IF($H49&gt;0,MIN($R$3,$H49*(1+$H$2)),0)+IF($I49&gt;0,MIN($S$3,$I49*(1+$I$2)),0)+IF($J49&gt;0,MIN($T$3,$J49*(1+$J$2)),0)+IF($L49&gt;0,MIN($V$3,$L49*(1+$L$2)),0)))),MIN($U$3,$K49*(1+K$2))))</f>
        <v/>
      </c>
      <c r="V50" s="37">
        <f>IF($L49&lt;=0,0,IF($Y50=10,MIN($L49*(1+L$2),MAX(0,$B50-(IF($C49&gt;0,MIN($M$3,$C49*(1+$C$2)),0)+IF($D49&gt;0,MIN($N$3,$D49*(1+$D$2)),0)+IF($E49&gt;0,MIN($O$3,$E49*(1+$E$2)),0)+IF($F49&gt;0,MIN($P$3,$F49*(1+$F$2)),0)+IF($G49&gt;0,MIN($Q$3,$G49*(1+$G$2)),0)+IF($H49&gt;0,MIN($R$3,$H49*(1+$H$2)),0)+IF($I49&gt;0,MIN($S$3,$I49*(1+$I$2)),0)+IF($J49&gt;0,MIN($T$3,$J49*(1+$J$2)),0)+IF($K49&gt;0,MIN($U$3,$K49*(1+$K$2)),0)))),MIN($V$3,$L49*(1+L$2))))</f>
        <v/>
      </c>
      <c r="W50" s="37">
        <f>ROUND(SUMPRODUCT($C49:$L49,$C$2:$L$2),2)</f>
        <v/>
      </c>
      <c r="X50" s="37">
        <f>SUM($C50:$L50)</f>
        <v/>
      </c>
      <c r="Y50" s="42">
        <f>IF($X49=0,"",MIN(IF($C49&gt;0,1,'My Debts'!$B$13+1),IF($D49&gt;0,2,'My Debts'!$B$13+1),IF($E49&gt;0,3,'My Debts'!$B$13+1),IF($F49&gt;0,4,'My Debts'!$B$13+1),IF($G49&gt;0,5,'My Debts'!$B$13+1),IF($H49&gt;0,6,'My Debts'!$B$13+1),IF($I49&gt;0,7,'My Debts'!$B$13+1),IF($J49&gt;0,8,'My Debts'!$B$13+1),IF($K49&gt;0,9,'My Debts'!$B$13+1),IF($L49&gt;0,10,'My Debts'!$B$13+1)))</f>
        <v/>
      </c>
    </row>
    <row r="51" ht="18" customHeight="1" s="44">
      <c r="A51" s="42" t="n">
        <v>46</v>
      </c>
      <c r="B51" s="37">
        <f>IF($X50&gt;0,'My Debts'!$B$8,0)</f>
        <v/>
      </c>
      <c r="C51" s="37">
        <f>ROUND(MAX(0,$C50*(1+C$2)-M51),2)</f>
        <v/>
      </c>
      <c r="D51" s="37">
        <f>ROUND(MAX(0,$D50*(1+D$2)-N51),2)</f>
        <v/>
      </c>
      <c r="E51" s="37">
        <f>ROUND(MAX(0,$E50*(1+E$2)-O51),2)</f>
        <v/>
      </c>
      <c r="F51" s="37">
        <f>ROUND(MAX(0,$F50*(1+F$2)-P51),2)</f>
        <v/>
      </c>
      <c r="G51" s="37">
        <f>ROUND(MAX(0,$G50*(1+G$2)-Q51),2)</f>
        <v/>
      </c>
      <c r="H51" s="37">
        <f>ROUND(MAX(0,$H50*(1+H$2)-R51),2)</f>
        <v/>
      </c>
      <c r="I51" s="37">
        <f>ROUND(MAX(0,$I50*(1+I$2)-S51),2)</f>
        <v/>
      </c>
      <c r="J51" s="37">
        <f>ROUND(MAX(0,$J50*(1+J$2)-T51),2)</f>
        <v/>
      </c>
      <c r="K51" s="37">
        <f>ROUND(MAX(0,$K50*(1+K$2)-U51),2)</f>
        <v/>
      </c>
      <c r="L51" s="37">
        <f>ROUND(MAX(0,$L50*(1+L$2)-V51),2)</f>
        <v/>
      </c>
      <c r="M51" s="37">
        <f>IF($C50&lt;=0,0,IF($Y51=1,MIN($C50*(1+C$2),MAX(0,$B51-(IF($D50&gt;0,MIN($N$3,$D50*(1+$D$2)),0)+IF($E50&gt;0,MIN($O$3,$E50*(1+$E$2)),0)+IF($F50&gt;0,MIN($P$3,$F50*(1+$F$2)),0)+IF($G50&gt;0,MIN($Q$3,$G50*(1+$G$2)),0)+IF($H50&gt;0,MIN($R$3,$H50*(1+$H$2)),0)+IF($I50&gt;0,MIN($S$3,$I50*(1+$I$2)),0)+IF($J50&gt;0,MIN($T$3,$J50*(1+$J$2)),0)+IF($K50&gt;0,MIN($U$3,$K50*(1+$K$2)),0)+IF($L50&gt;0,MIN($V$3,$L50*(1+$L$2)),0)))),MIN($M$3,$C50*(1+C$2))))</f>
        <v/>
      </c>
      <c r="N51" s="37">
        <f>IF($D50&lt;=0,0,IF($Y51=2,MIN($D50*(1+D$2),MAX(0,$B51-(IF($C50&gt;0,MIN($M$3,$C50*(1+$C$2)),0)+IF($E50&gt;0,MIN($O$3,$E50*(1+$E$2)),0)+IF($F50&gt;0,MIN($P$3,$F50*(1+$F$2)),0)+IF($G50&gt;0,MIN($Q$3,$G50*(1+$G$2)),0)+IF($H50&gt;0,MIN($R$3,$H50*(1+$H$2)),0)+IF($I50&gt;0,MIN($S$3,$I50*(1+$I$2)),0)+IF($J50&gt;0,MIN($T$3,$J50*(1+$J$2)),0)+IF($K50&gt;0,MIN($U$3,$K50*(1+$K$2)),0)+IF($L50&gt;0,MIN($V$3,$L50*(1+$L$2)),0)))),MIN($N$3,$D50*(1+D$2))))</f>
        <v/>
      </c>
      <c r="O51" s="37">
        <f>IF($E50&lt;=0,0,IF($Y51=3,MIN($E50*(1+E$2),MAX(0,$B51-(IF($C50&gt;0,MIN($M$3,$C50*(1+$C$2)),0)+IF($D50&gt;0,MIN($N$3,$D50*(1+$D$2)),0)+IF($F50&gt;0,MIN($P$3,$F50*(1+$F$2)),0)+IF($G50&gt;0,MIN($Q$3,$G50*(1+$G$2)),0)+IF($H50&gt;0,MIN($R$3,$H50*(1+$H$2)),0)+IF($I50&gt;0,MIN($S$3,$I50*(1+$I$2)),0)+IF($J50&gt;0,MIN($T$3,$J50*(1+$J$2)),0)+IF($K50&gt;0,MIN($U$3,$K50*(1+$K$2)),0)+IF($L50&gt;0,MIN($V$3,$L50*(1+$L$2)),0)))),MIN($O$3,$E50*(1+E$2))))</f>
        <v/>
      </c>
      <c r="P51" s="37">
        <f>IF($F50&lt;=0,0,IF($Y51=4,MIN($F50*(1+F$2),MAX(0,$B51-(IF($C50&gt;0,MIN($M$3,$C50*(1+$C$2)),0)+IF($D50&gt;0,MIN($N$3,$D50*(1+$D$2)),0)+IF($E50&gt;0,MIN($O$3,$E50*(1+$E$2)),0)+IF($G50&gt;0,MIN($Q$3,$G50*(1+$G$2)),0)+IF($H50&gt;0,MIN($R$3,$H50*(1+$H$2)),0)+IF($I50&gt;0,MIN($S$3,$I50*(1+$I$2)),0)+IF($J50&gt;0,MIN($T$3,$J50*(1+$J$2)),0)+IF($K50&gt;0,MIN($U$3,$K50*(1+$K$2)),0)+IF($L50&gt;0,MIN($V$3,$L50*(1+$L$2)),0)))),MIN($P$3,$F50*(1+F$2))))</f>
        <v/>
      </c>
      <c r="Q51" s="37">
        <f>IF($G50&lt;=0,0,IF($Y51=5,MIN($G50*(1+G$2),MAX(0,$B51-(IF($C50&gt;0,MIN($M$3,$C50*(1+$C$2)),0)+IF($D50&gt;0,MIN($N$3,$D50*(1+$D$2)),0)+IF($E50&gt;0,MIN($O$3,$E50*(1+$E$2)),0)+IF($F50&gt;0,MIN($P$3,$F50*(1+$F$2)),0)+IF($H50&gt;0,MIN($R$3,$H50*(1+$H$2)),0)+IF($I50&gt;0,MIN($S$3,$I50*(1+$I$2)),0)+IF($J50&gt;0,MIN($T$3,$J50*(1+$J$2)),0)+IF($K50&gt;0,MIN($U$3,$K50*(1+$K$2)),0)+IF($L50&gt;0,MIN($V$3,$L50*(1+$L$2)),0)))),MIN($Q$3,$G50*(1+G$2))))</f>
        <v/>
      </c>
      <c r="R51" s="37">
        <f>IF($H50&lt;=0,0,IF($Y51=6,MIN($H50*(1+H$2),MAX(0,$B51-(IF($C50&gt;0,MIN($M$3,$C50*(1+$C$2)),0)+IF($D50&gt;0,MIN($N$3,$D50*(1+$D$2)),0)+IF($E50&gt;0,MIN($O$3,$E50*(1+$E$2)),0)+IF($F50&gt;0,MIN($P$3,$F50*(1+$F$2)),0)+IF($G50&gt;0,MIN($Q$3,$G50*(1+$G$2)),0)+IF($I50&gt;0,MIN($S$3,$I50*(1+$I$2)),0)+IF($J50&gt;0,MIN($T$3,$J50*(1+$J$2)),0)+IF($K50&gt;0,MIN($U$3,$K50*(1+$K$2)),0)+IF($L50&gt;0,MIN($V$3,$L50*(1+$L$2)),0)))),MIN($R$3,$H50*(1+H$2))))</f>
        <v/>
      </c>
      <c r="S51" s="37">
        <f>IF($I50&lt;=0,0,IF($Y51=7,MIN($I50*(1+I$2),MAX(0,$B51-(IF($C50&gt;0,MIN($M$3,$C50*(1+$C$2)),0)+IF($D50&gt;0,MIN($N$3,$D50*(1+$D$2)),0)+IF($E50&gt;0,MIN($O$3,$E50*(1+$E$2)),0)+IF($F50&gt;0,MIN($P$3,$F50*(1+$F$2)),0)+IF($G50&gt;0,MIN($Q$3,$G50*(1+$G$2)),0)+IF($H50&gt;0,MIN($R$3,$H50*(1+$H$2)),0)+IF($J50&gt;0,MIN($T$3,$J50*(1+$J$2)),0)+IF($K50&gt;0,MIN($U$3,$K50*(1+$K$2)),0)+IF($L50&gt;0,MIN($V$3,$L50*(1+$L$2)),0)))),MIN($S$3,$I50*(1+I$2))))</f>
        <v/>
      </c>
      <c r="T51" s="37">
        <f>IF($J50&lt;=0,0,IF($Y51=8,MIN($J50*(1+J$2),MAX(0,$B51-(IF($C50&gt;0,MIN($M$3,$C50*(1+$C$2)),0)+IF($D50&gt;0,MIN($N$3,$D50*(1+$D$2)),0)+IF($E50&gt;0,MIN($O$3,$E50*(1+$E$2)),0)+IF($F50&gt;0,MIN($P$3,$F50*(1+$F$2)),0)+IF($G50&gt;0,MIN($Q$3,$G50*(1+$G$2)),0)+IF($H50&gt;0,MIN($R$3,$H50*(1+$H$2)),0)+IF($I50&gt;0,MIN($S$3,$I50*(1+$I$2)),0)+IF($K50&gt;0,MIN($U$3,$K50*(1+$K$2)),0)+IF($L50&gt;0,MIN($V$3,$L50*(1+$L$2)),0)))),MIN($T$3,$J50*(1+J$2))))</f>
        <v/>
      </c>
      <c r="U51" s="37">
        <f>IF($K50&lt;=0,0,IF($Y51=9,MIN($K50*(1+K$2),MAX(0,$B51-(IF($C50&gt;0,MIN($M$3,$C50*(1+$C$2)),0)+IF($D50&gt;0,MIN($N$3,$D50*(1+$D$2)),0)+IF($E50&gt;0,MIN($O$3,$E50*(1+$E$2)),0)+IF($F50&gt;0,MIN($P$3,$F50*(1+$F$2)),0)+IF($G50&gt;0,MIN($Q$3,$G50*(1+$G$2)),0)+IF($H50&gt;0,MIN($R$3,$H50*(1+$H$2)),0)+IF($I50&gt;0,MIN($S$3,$I50*(1+$I$2)),0)+IF($J50&gt;0,MIN($T$3,$J50*(1+$J$2)),0)+IF($L50&gt;0,MIN($V$3,$L50*(1+$L$2)),0)))),MIN($U$3,$K50*(1+K$2))))</f>
        <v/>
      </c>
      <c r="V51" s="37">
        <f>IF($L50&lt;=0,0,IF($Y51=10,MIN($L50*(1+L$2),MAX(0,$B51-(IF($C50&gt;0,MIN($M$3,$C50*(1+$C$2)),0)+IF($D50&gt;0,MIN($N$3,$D50*(1+$D$2)),0)+IF($E50&gt;0,MIN($O$3,$E50*(1+$E$2)),0)+IF($F50&gt;0,MIN($P$3,$F50*(1+$F$2)),0)+IF($G50&gt;0,MIN($Q$3,$G50*(1+$G$2)),0)+IF($H50&gt;0,MIN($R$3,$H50*(1+$H$2)),0)+IF($I50&gt;0,MIN($S$3,$I50*(1+$I$2)),0)+IF($J50&gt;0,MIN($T$3,$J50*(1+$J$2)),0)+IF($K50&gt;0,MIN($U$3,$K50*(1+$K$2)),0)))),MIN($V$3,$L50*(1+L$2))))</f>
        <v/>
      </c>
      <c r="W51" s="37">
        <f>ROUND(SUMPRODUCT($C50:$L50,$C$2:$L$2),2)</f>
        <v/>
      </c>
      <c r="X51" s="37">
        <f>SUM($C51:$L51)</f>
        <v/>
      </c>
      <c r="Y51" s="42">
        <f>IF($X50=0,"",MIN(IF($C50&gt;0,1,'My Debts'!$B$13+1),IF($D50&gt;0,2,'My Debts'!$B$13+1),IF($E50&gt;0,3,'My Debts'!$B$13+1),IF($F50&gt;0,4,'My Debts'!$B$13+1),IF($G50&gt;0,5,'My Debts'!$B$13+1),IF($H50&gt;0,6,'My Debts'!$B$13+1),IF($I50&gt;0,7,'My Debts'!$B$13+1),IF($J50&gt;0,8,'My Debts'!$B$13+1),IF($K50&gt;0,9,'My Debts'!$B$13+1),IF($L50&gt;0,10,'My Debts'!$B$13+1)))</f>
        <v/>
      </c>
    </row>
    <row r="52" ht="18" customHeight="1" s="44">
      <c r="A52" s="42" t="n">
        <v>47</v>
      </c>
      <c r="B52" s="37">
        <f>IF($X51&gt;0,'My Debts'!$B$8,0)</f>
        <v/>
      </c>
      <c r="C52" s="37">
        <f>ROUND(MAX(0,$C51*(1+C$2)-M52),2)</f>
        <v/>
      </c>
      <c r="D52" s="37">
        <f>ROUND(MAX(0,$D51*(1+D$2)-N52),2)</f>
        <v/>
      </c>
      <c r="E52" s="37">
        <f>ROUND(MAX(0,$E51*(1+E$2)-O52),2)</f>
        <v/>
      </c>
      <c r="F52" s="37">
        <f>ROUND(MAX(0,$F51*(1+F$2)-P52),2)</f>
        <v/>
      </c>
      <c r="G52" s="37">
        <f>ROUND(MAX(0,$G51*(1+G$2)-Q52),2)</f>
        <v/>
      </c>
      <c r="H52" s="37">
        <f>ROUND(MAX(0,$H51*(1+H$2)-R52),2)</f>
        <v/>
      </c>
      <c r="I52" s="37">
        <f>ROUND(MAX(0,$I51*(1+I$2)-S52),2)</f>
        <v/>
      </c>
      <c r="J52" s="37">
        <f>ROUND(MAX(0,$J51*(1+J$2)-T52),2)</f>
        <v/>
      </c>
      <c r="K52" s="37">
        <f>ROUND(MAX(0,$K51*(1+K$2)-U52),2)</f>
        <v/>
      </c>
      <c r="L52" s="37">
        <f>ROUND(MAX(0,$L51*(1+L$2)-V52),2)</f>
        <v/>
      </c>
      <c r="M52" s="37">
        <f>IF($C51&lt;=0,0,IF($Y52=1,MIN($C51*(1+C$2),MAX(0,$B52-(IF($D51&gt;0,MIN($N$3,$D51*(1+$D$2)),0)+IF($E51&gt;0,MIN($O$3,$E51*(1+$E$2)),0)+IF($F51&gt;0,MIN($P$3,$F51*(1+$F$2)),0)+IF($G51&gt;0,MIN($Q$3,$G51*(1+$G$2)),0)+IF($H51&gt;0,MIN($R$3,$H51*(1+$H$2)),0)+IF($I51&gt;0,MIN($S$3,$I51*(1+$I$2)),0)+IF($J51&gt;0,MIN($T$3,$J51*(1+$J$2)),0)+IF($K51&gt;0,MIN($U$3,$K51*(1+$K$2)),0)+IF($L51&gt;0,MIN($V$3,$L51*(1+$L$2)),0)))),MIN($M$3,$C51*(1+C$2))))</f>
        <v/>
      </c>
      <c r="N52" s="37">
        <f>IF($D51&lt;=0,0,IF($Y52=2,MIN($D51*(1+D$2),MAX(0,$B52-(IF($C51&gt;0,MIN($M$3,$C51*(1+$C$2)),0)+IF($E51&gt;0,MIN($O$3,$E51*(1+$E$2)),0)+IF($F51&gt;0,MIN($P$3,$F51*(1+$F$2)),0)+IF($G51&gt;0,MIN($Q$3,$G51*(1+$G$2)),0)+IF($H51&gt;0,MIN($R$3,$H51*(1+$H$2)),0)+IF($I51&gt;0,MIN($S$3,$I51*(1+$I$2)),0)+IF($J51&gt;0,MIN($T$3,$J51*(1+$J$2)),0)+IF($K51&gt;0,MIN($U$3,$K51*(1+$K$2)),0)+IF($L51&gt;0,MIN($V$3,$L51*(1+$L$2)),0)))),MIN($N$3,$D51*(1+D$2))))</f>
        <v/>
      </c>
      <c r="O52" s="37">
        <f>IF($E51&lt;=0,0,IF($Y52=3,MIN($E51*(1+E$2),MAX(0,$B52-(IF($C51&gt;0,MIN($M$3,$C51*(1+$C$2)),0)+IF($D51&gt;0,MIN($N$3,$D51*(1+$D$2)),0)+IF($F51&gt;0,MIN($P$3,$F51*(1+$F$2)),0)+IF($G51&gt;0,MIN($Q$3,$G51*(1+$G$2)),0)+IF($H51&gt;0,MIN($R$3,$H51*(1+$H$2)),0)+IF($I51&gt;0,MIN($S$3,$I51*(1+$I$2)),0)+IF($J51&gt;0,MIN($T$3,$J51*(1+$J$2)),0)+IF($K51&gt;0,MIN($U$3,$K51*(1+$K$2)),0)+IF($L51&gt;0,MIN($V$3,$L51*(1+$L$2)),0)))),MIN($O$3,$E51*(1+E$2))))</f>
        <v/>
      </c>
      <c r="P52" s="37">
        <f>IF($F51&lt;=0,0,IF($Y52=4,MIN($F51*(1+F$2),MAX(0,$B52-(IF($C51&gt;0,MIN($M$3,$C51*(1+$C$2)),0)+IF($D51&gt;0,MIN($N$3,$D51*(1+$D$2)),0)+IF($E51&gt;0,MIN($O$3,$E51*(1+$E$2)),0)+IF($G51&gt;0,MIN($Q$3,$G51*(1+$G$2)),0)+IF($H51&gt;0,MIN($R$3,$H51*(1+$H$2)),0)+IF($I51&gt;0,MIN($S$3,$I51*(1+$I$2)),0)+IF($J51&gt;0,MIN($T$3,$J51*(1+$J$2)),0)+IF($K51&gt;0,MIN($U$3,$K51*(1+$K$2)),0)+IF($L51&gt;0,MIN($V$3,$L51*(1+$L$2)),0)))),MIN($P$3,$F51*(1+F$2))))</f>
        <v/>
      </c>
      <c r="Q52" s="37">
        <f>IF($G51&lt;=0,0,IF($Y52=5,MIN($G51*(1+G$2),MAX(0,$B52-(IF($C51&gt;0,MIN($M$3,$C51*(1+$C$2)),0)+IF($D51&gt;0,MIN($N$3,$D51*(1+$D$2)),0)+IF($E51&gt;0,MIN($O$3,$E51*(1+$E$2)),0)+IF($F51&gt;0,MIN($P$3,$F51*(1+$F$2)),0)+IF($H51&gt;0,MIN($R$3,$H51*(1+$H$2)),0)+IF($I51&gt;0,MIN($S$3,$I51*(1+$I$2)),0)+IF($J51&gt;0,MIN($T$3,$J51*(1+$J$2)),0)+IF($K51&gt;0,MIN($U$3,$K51*(1+$K$2)),0)+IF($L51&gt;0,MIN($V$3,$L51*(1+$L$2)),0)))),MIN($Q$3,$G51*(1+G$2))))</f>
        <v/>
      </c>
      <c r="R52" s="37">
        <f>IF($H51&lt;=0,0,IF($Y52=6,MIN($H51*(1+H$2),MAX(0,$B52-(IF($C51&gt;0,MIN($M$3,$C51*(1+$C$2)),0)+IF($D51&gt;0,MIN($N$3,$D51*(1+$D$2)),0)+IF($E51&gt;0,MIN($O$3,$E51*(1+$E$2)),0)+IF($F51&gt;0,MIN($P$3,$F51*(1+$F$2)),0)+IF($G51&gt;0,MIN($Q$3,$G51*(1+$G$2)),0)+IF($I51&gt;0,MIN($S$3,$I51*(1+$I$2)),0)+IF($J51&gt;0,MIN($T$3,$J51*(1+$J$2)),0)+IF($K51&gt;0,MIN($U$3,$K51*(1+$K$2)),0)+IF($L51&gt;0,MIN($V$3,$L51*(1+$L$2)),0)))),MIN($R$3,$H51*(1+H$2))))</f>
        <v/>
      </c>
      <c r="S52" s="37">
        <f>IF($I51&lt;=0,0,IF($Y52=7,MIN($I51*(1+I$2),MAX(0,$B52-(IF($C51&gt;0,MIN($M$3,$C51*(1+$C$2)),0)+IF($D51&gt;0,MIN($N$3,$D51*(1+$D$2)),0)+IF($E51&gt;0,MIN($O$3,$E51*(1+$E$2)),0)+IF($F51&gt;0,MIN($P$3,$F51*(1+$F$2)),0)+IF($G51&gt;0,MIN($Q$3,$G51*(1+$G$2)),0)+IF($H51&gt;0,MIN($R$3,$H51*(1+$H$2)),0)+IF($J51&gt;0,MIN($T$3,$J51*(1+$J$2)),0)+IF($K51&gt;0,MIN($U$3,$K51*(1+$K$2)),0)+IF($L51&gt;0,MIN($V$3,$L51*(1+$L$2)),0)))),MIN($S$3,$I51*(1+I$2))))</f>
        <v/>
      </c>
      <c r="T52" s="37">
        <f>IF($J51&lt;=0,0,IF($Y52=8,MIN($J51*(1+J$2),MAX(0,$B52-(IF($C51&gt;0,MIN($M$3,$C51*(1+$C$2)),0)+IF($D51&gt;0,MIN($N$3,$D51*(1+$D$2)),0)+IF($E51&gt;0,MIN($O$3,$E51*(1+$E$2)),0)+IF($F51&gt;0,MIN($P$3,$F51*(1+$F$2)),0)+IF($G51&gt;0,MIN($Q$3,$G51*(1+$G$2)),0)+IF($H51&gt;0,MIN($R$3,$H51*(1+$H$2)),0)+IF($I51&gt;0,MIN($S$3,$I51*(1+$I$2)),0)+IF($K51&gt;0,MIN($U$3,$K51*(1+$K$2)),0)+IF($L51&gt;0,MIN($V$3,$L51*(1+$L$2)),0)))),MIN($T$3,$J51*(1+J$2))))</f>
        <v/>
      </c>
      <c r="U52" s="37">
        <f>IF($K51&lt;=0,0,IF($Y52=9,MIN($K51*(1+K$2),MAX(0,$B52-(IF($C51&gt;0,MIN($M$3,$C51*(1+$C$2)),0)+IF($D51&gt;0,MIN($N$3,$D51*(1+$D$2)),0)+IF($E51&gt;0,MIN($O$3,$E51*(1+$E$2)),0)+IF($F51&gt;0,MIN($P$3,$F51*(1+$F$2)),0)+IF($G51&gt;0,MIN($Q$3,$G51*(1+$G$2)),0)+IF($H51&gt;0,MIN($R$3,$H51*(1+$H$2)),0)+IF($I51&gt;0,MIN($S$3,$I51*(1+$I$2)),0)+IF($J51&gt;0,MIN($T$3,$J51*(1+$J$2)),0)+IF($L51&gt;0,MIN($V$3,$L51*(1+$L$2)),0)))),MIN($U$3,$K51*(1+K$2))))</f>
        <v/>
      </c>
      <c r="V52" s="37">
        <f>IF($L51&lt;=0,0,IF($Y52=10,MIN($L51*(1+L$2),MAX(0,$B52-(IF($C51&gt;0,MIN($M$3,$C51*(1+$C$2)),0)+IF($D51&gt;0,MIN($N$3,$D51*(1+$D$2)),0)+IF($E51&gt;0,MIN($O$3,$E51*(1+$E$2)),0)+IF($F51&gt;0,MIN($P$3,$F51*(1+$F$2)),0)+IF($G51&gt;0,MIN($Q$3,$G51*(1+$G$2)),0)+IF($H51&gt;0,MIN($R$3,$H51*(1+$H$2)),0)+IF($I51&gt;0,MIN($S$3,$I51*(1+$I$2)),0)+IF($J51&gt;0,MIN($T$3,$J51*(1+$J$2)),0)+IF($K51&gt;0,MIN($U$3,$K51*(1+$K$2)),0)))),MIN($V$3,$L51*(1+L$2))))</f>
        <v/>
      </c>
      <c r="W52" s="37">
        <f>ROUND(SUMPRODUCT($C51:$L51,$C$2:$L$2),2)</f>
        <v/>
      </c>
      <c r="X52" s="37">
        <f>SUM($C52:$L52)</f>
        <v/>
      </c>
      <c r="Y52" s="42">
        <f>IF($X51=0,"",MIN(IF($C51&gt;0,1,'My Debts'!$B$13+1),IF($D51&gt;0,2,'My Debts'!$B$13+1),IF($E51&gt;0,3,'My Debts'!$B$13+1),IF($F51&gt;0,4,'My Debts'!$B$13+1),IF($G51&gt;0,5,'My Debts'!$B$13+1),IF($H51&gt;0,6,'My Debts'!$B$13+1),IF($I51&gt;0,7,'My Debts'!$B$13+1),IF($J51&gt;0,8,'My Debts'!$B$13+1),IF($K51&gt;0,9,'My Debts'!$B$13+1),IF($L51&gt;0,10,'My Debts'!$B$13+1)))</f>
        <v/>
      </c>
    </row>
    <row r="53" ht="18" customHeight="1" s="44">
      <c r="A53" s="42" t="n">
        <v>48</v>
      </c>
      <c r="B53" s="37">
        <f>IF($X52&gt;0,'My Debts'!$B$8,0)</f>
        <v/>
      </c>
      <c r="C53" s="37">
        <f>ROUND(MAX(0,$C52*(1+C$2)-M53),2)</f>
        <v/>
      </c>
      <c r="D53" s="37">
        <f>ROUND(MAX(0,$D52*(1+D$2)-N53),2)</f>
        <v/>
      </c>
      <c r="E53" s="37">
        <f>ROUND(MAX(0,$E52*(1+E$2)-O53),2)</f>
        <v/>
      </c>
      <c r="F53" s="37">
        <f>ROUND(MAX(0,$F52*(1+F$2)-P53),2)</f>
        <v/>
      </c>
      <c r="G53" s="37">
        <f>ROUND(MAX(0,$G52*(1+G$2)-Q53),2)</f>
        <v/>
      </c>
      <c r="H53" s="37">
        <f>ROUND(MAX(0,$H52*(1+H$2)-R53),2)</f>
        <v/>
      </c>
      <c r="I53" s="37">
        <f>ROUND(MAX(0,$I52*(1+I$2)-S53),2)</f>
        <v/>
      </c>
      <c r="J53" s="37">
        <f>ROUND(MAX(0,$J52*(1+J$2)-T53),2)</f>
        <v/>
      </c>
      <c r="K53" s="37">
        <f>ROUND(MAX(0,$K52*(1+K$2)-U53),2)</f>
        <v/>
      </c>
      <c r="L53" s="37">
        <f>ROUND(MAX(0,$L52*(1+L$2)-V53),2)</f>
        <v/>
      </c>
      <c r="M53" s="37">
        <f>IF($C52&lt;=0,0,IF($Y53=1,MIN($C52*(1+C$2),MAX(0,$B53-(IF($D52&gt;0,MIN($N$3,$D52*(1+$D$2)),0)+IF($E52&gt;0,MIN($O$3,$E52*(1+$E$2)),0)+IF($F52&gt;0,MIN($P$3,$F52*(1+$F$2)),0)+IF($G52&gt;0,MIN($Q$3,$G52*(1+$G$2)),0)+IF($H52&gt;0,MIN($R$3,$H52*(1+$H$2)),0)+IF($I52&gt;0,MIN($S$3,$I52*(1+$I$2)),0)+IF($J52&gt;0,MIN($T$3,$J52*(1+$J$2)),0)+IF($K52&gt;0,MIN($U$3,$K52*(1+$K$2)),0)+IF($L52&gt;0,MIN($V$3,$L52*(1+$L$2)),0)))),MIN($M$3,$C52*(1+C$2))))</f>
        <v/>
      </c>
      <c r="N53" s="37">
        <f>IF($D52&lt;=0,0,IF($Y53=2,MIN($D52*(1+D$2),MAX(0,$B53-(IF($C52&gt;0,MIN($M$3,$C52*(1+$C$2)),0)+IF($E52&gt;0,MIN($O$3,$E52*(1+$E$2)),0)+IF($F52&gt;0,MIN($P$3,$F52*(1+$F$2)),0)+IF($G52&gt;0,MIN($Q$3,$G52*(1+$G$2)),0)+IF($H52&gt;0,MIN($R$3,$H52*(1+$H$2)),0)+IF($I52&gt;0,MIN($S$3,$I52*(1+$I$2)),0)+IF($J52&gt;0,MIN($T$3,$J52*(1+$J$2)),0)+IF($K52&gt;0,MIN($U$3,$K52*(1+$K$2)),0)+IF($L52&gt;0,MIN($V$3,$L52*(1+$L$2)),0)))),MIN($N$3,$D52*(1+D$2))))</f>
        <v/>
      </c>
      <c r="O53" s="37">
        <f>IF($E52&lt;=0,0,IF($Y53=3,MIN($E52*(1+E$2),MAX(0,$B53-(IF($C52&gt;0,MIN($M$3,$C52*(1+$C$2)),0)+IF($D52&gt;0,MIN($N$3,$D52*(1+$D$2)),0)+IF($F52&gt;0,MIN($P$3,$F52*(1+$F$2)),0)+IF($G52&gt;0,MIN($Q$3,$G52*(1+$G$2)),0)+IF($H52&gt;0,MIN($R$3,$H52*(1+$H$2)),0)+IF($I52&gt;0,MIN($S$3,$I52*(1+$I$2)),0)+IF($J52&gt;0,MIN($T$3,$J52*(1+$J$2)),0)+IF($K52&gt;0,MIN($U$3,$K52*(1+$K$2)),0)+IF($L52&gt;0,MIN($V$3,$L52*(1+$L$2)),0)))),MIN($O$3,$E52*(1+E$2))))</f>
        <v/>
      </c>
      <c r="P53" s="37">
        <f>IF($F52&lt;=0,0,IF($Y53=4,MIN($F52*(1+F$2),MAX(0,$B53-(IF($C52&gt;0,MIN($M$3,$C52*(1+$C$2)),0)+IF($D52&gt;0,MIN($N$3,$D52*(1+$D$2)),0)+IF($E52&gt;0,MIN($O$3,$E52*(1+$E$2)),0)+IF($G52&gt;0,MIN($Q$3,$G52*(1+$G$2)),0)+IF($H52&gt;0,MIN($R$3,$H52*(1+$H$2)),0)+IF($I52&gt;0,MIN($S$3,$I52*(1+$I$2)),0)+IF($J52&gt;0,MIN($T$3,$J52*(1+$J$2)),0)+IF($K52&gt;0,MIN($U$3,$K52*(1+$K$2)),0)+IF($L52&gt;0,MIN($V$3,$L52*(1+$L$2)),0)))),MIN($P$3,$F52*(1+F$2))))</f>
        <v/>
      </c>
      <c r="Q53" s="37">
        <f>IF($G52&lt;=0,0,IF($Y53=5,MIN($G52*(1+G$2),MAX(0,$B53-(IF($C52&gt;0,MIN($M$3,$C52*(1+$C$2)),0)+IF($D52&gt;0,MIN($N$3,$D52*(1+$D$2)),0)+IF($E52&gt;0,MIN($O$3,$E52*(1+$E$2)),0)+IF($F52&gt;0,MIN($P$3,$F52*(1+$F$2)),0)+IF($H52&gt;0,MIN($R$3,$H52*(1+$H$2)),0)+IF($I52&gt;0,MIN($S$3,$I52*(1+$I$2)),0)+IF($J52&gt;0,MIN($T$3,$J52*(1+$J$2)),0)+IF($K52&gt;0,MIN($U$3,$K52*(1+$K$2)),0)+IF($L52&gt;0,MIN($V$3,$L52*(1+$L$2)),0)))),MIN($Q$3,$G52*(1+G$2))))</f>
        <v/>
      </c>
      <c r="R53" s="37">
        <f>IF($H52&lt;=0,0,IF($Y53=6,MIN($H52*(1+H$2),MAX(0,$B53-(IF($C52&gt;0,MIN($M$3,$C52*(1+$C$2)),0)+IF($D52&gt;0,MIN($N$3,$D52*(1+$D$2)),0)+IF($E52&gt;0,MIN($O$3,$E52*(1+$E$2)),0)+IF($F52&gt;0,MIN($P$3,$F52*(1+$F$2)),0)+IF($G52&gt;0,MIN($Q$3,$G52*(1+$G$2)),0)+IF($I52&gt;0,MIN($S$3,$I52*(1+$I$2)),0)+IF($J52&gt;0,MIN($T$3,$J52*(1+$J$2)),0)+IF($K52&gt;0,MIN($U$3,$K52*(1+$K$2)),0)+IF($L52&gt;0,MIN($V$3,$L52*(1+$L$2)),0)))),MIN($R$3,$H52*(1+H$2))))</f>
        <v/>
      </c>
      <c r="S53" s="37">
        <f>IF($I52&lt;=0,0,IF($Y53=7,MIN($I52*(1+I$2),MAX(0,$B53-(IF($C52&gt;0,MIN($M$3,$C52*(1+$C$2)),0)+IF($D52&gt;0,MIN($N$3,$D52*(1+$D$2)),0)+IF($E52&gt;0,MIN($O$3,$E52*(1+$E$2)),0)+IF($F52&gt;0,MIN($P$3,$F52*(1+$F$2)),0)+IF($G52&gt;0,MIN($Q$3,$G52*(1+$G$2)),0)+IF($H52&gt;0,MIN($R$3,$H52*(1+$H$2)),0)+IF($J52&gt;0,MIN($T$3,$J52*(1+$J$2)),0)+IF($K52&gt;0,MIN($U$3,$K52*(1+$K$2)),0)+IF($L52&gt;0,MIN($V$3,$L52*(1+$L$2)),0)))),MIN($S$3,$I52*(1+I$2))))</f>
        <v/>
      </c>
      <c r="T53" s="37">
        <f>IF($J52&lt;=0,0,IF($Y53=8,MIN($J52*(1+J$2),MAX(0,$B53-(IF($C52&gt;0,MIN($M$3,$C52*(1+$C$2)),0)+IF($D52&gt;0,MIN($N$3,$D52*(1+$D$2)),0)+IF($E52&gt;0,MIN($O$3,$E52*(1+$E$2)),0)+IF($F52&gt;0,MIN($P$3,$F52*(1+$F$2)),0)+IF($G52&gt;0,MIN($Q$3,$G52*(1+$G$2)),0)+IF($H52&gt;0,MIN($R$3,$H52*(1+$H$2)),0)+IF($I52&gt;0,MIN($S$3,$I52*(1+$I$2)),0)+IF($K52&gt;0,MIN($U$3,$K52*(1+$K$2)),0)+IF($L52&gt;0,MIN($V$3,$L52*(1+$L$2)),0)))),MIN($T$3,$J52*(1+J$2))))</f>
        <v/>
      </c>
      <c r="U53" s="37">
        <f>IF($K52&lt;=0,0,IF($Y53=9,MIN($K52*(1+K$2),MAX(0,$B53-(IF($C52&gt;0,MIN($M$3,$C52*(1+$C$2)),0)+IF($D52&gt;0,MIN($N$3,$D52*(1+$D$2)),0)+IF($E52&gt;0,MIN($O$3,$E52*(1+$E$2)),0)+IF($F52&gt;0,MIN($P$3,$F52*(1+$F$2)),0)+IF($G52&gt;0,MIN($Q$3,$G52*(1+$G$2)),0)+IF($H52&gt;0,MIN($R$3,$H52*(1+$H$2)),0)+IF($I52&gt;0,MIN($S$3,$I52*(1+$I$2)),0)+IF($J52&gt;0,MIN($T$3,$J52*(1+$J$2)),0)+IF($L52&gt;0,MIN($V$3,$L52*(1+$L$2)),0)))),MIN($U$3,$K52*(1+K$2))))</f>
        <v/>
      </c>
      <c r="V53" s="37">
        <f>IF($L52&lt;=0,0,IF($Y53=10,MIN($L52*(1+L$2),MAX(0,$B53-(IF($C52&gt;0,MIN($M$3,$C52*(1+$C$2)),0)+IF($D52&gt;0,MIN($N$3,$D52*(1+$D$2)),0)+IF($E52&gt;0,MIN($O$3,$E52*(1+$E$2)),0)+IF($F52&gt;0,MIN($P$3,$F52*(1+$F$2)),0)+IF($G52&gt;0,MIN($Q$3,$G52*(1+$G$2)),0)+IF($H52&gt;0,MIN($R$3,$H52*(1+$H$2)),0)+IF($I52&gt;0,MIN($S$3,$I52*(1+$I$2)),0)+IF($J52&gt;0,MIN($T$3,$J52*(1+$J$2)),0)+IF($K52&gt;0,MIN($U$3,$K52*(1+$K$2)),0)))),MIN($V$3,$L52*(1+L$2))))</f>
        <v/>
      </c>
      <c r="W53" s="37">
        <f>ROUND(SUMPRODUCT($C52:$L52,$C$2:$L$2),2)</f>
        <v/>
      </c>
      <c r="X53" s="37">
        <f>SUM($C53:$L53)</f>
        <v/>
      </c>
      <c r="Y53" s="42">
        <f>IF($X52=0,"",MIN(IF($C52&gt;0,1,'My Debts'!$B$13+1),IF($D52&gt;0,2,'My Debts'!$B$13+1),IF($E52&gt;0,3,'My Debts'!$B$13+1),IF($F52&gt;0,4,'My Debts'!$B$13+1),IF($G52&gt;0,5,'My Debts'!$B$13+1),IF($H52&gt;0,6,'My Debts'!$B$13+1),IF($I52&gt;0,7,'My Debts'!$B$13+1),IF($J52&gt;0,8,'My Debts'!$B$13+1),IF($K52&gt;0,9,'My Debts'!$B$13+1),IF($L52&gt;0,10,'My Debts'!$B$13+1)))</f>
        <v/>
      </c>
    </row>
    <row r="54" ht="18" customHeight="1" s="44">
      <c r="A54" s="42" t="n">
        <v>49</v>
      </c>
      <c r="B54" s="37">
        <f>IF($X53&gt;0,'My Debts'!$B$8,0)</f>
        <v/>
      </c>
      <c r="C54" s="37">
        <f>ROUND(MAX(0,$C53*(1+C$2)-M54),2)</f>
        <v/>
      </c>
      <c r="D54" s="37">
        <f>ROUND(MAX(0,$D53*(1+D$2)-N54),2)</f>
        <v/>
      </c>
      <c r="E54" s="37">
        <f>ROUND(MAX(0,$E53*(1+E$2)-O54),2)</f>
        <v/>
      </c>
      <c r="F54" s="37">
        <f>ROUND(MAX(0,$F53*(1+F$2)-P54),2)</f>
        <v/>
      </c>
      <c r="G54" s="37">
        <f>ROUND(MAX(0,$G53*(1+G$2)-Q54),2)</f>
        <v/>
      </c>
      <c r="H54" s="37">
        <f>ROUND(MAX(0,$H53*(1+H$2)-R54),2)</f>
        <v/>
      </c>
      <c r="I54" s="37">
        <f>ROUND(MAX(0,$I53*(1+I$2)-S54),2)</f>
        <v/>
      </c>
      <c r="J54" s="37">
        <f>ROUND(MAX(0,$J53*(1+J$2)-T54),2)</f>
        <v/>
      </c>
      <c r="K54" s="37">
        <f>ROUND(MAX(0,$K53*(1+K$2)-U54),2)</f>
        <v/>
      </c>
      <c r="L54" s="37">
        <f>ROUND(MAX(0,$L53*(1+L$2)-V54),2)</f>
        <v/>
      </c>
      <c r="M54" s="37">
        <f>IF($C53&lt;=0,0,IF($Y54=1,MIN($C53*(1+C$2),MAX(0,$B54-(IF($D53&gt;0,MIN($N$3,$D53*(1+$D$2)),0)+IF($E53&gt;0,MIN($O$3,$E53*(1+$E$2)),0)+IF($F53&gt;0,MIN($P$3,$F53*(1+$F$2)),0)+IF($G53&gt;0,MIN($Q$3,$G53*(1+$G$2)),0)+IF($H53&gt;0,MIN($R$3,$H53*(1+$H$2)),0)+IF($I53&gt;0,MIN($S$3,$I53*(1+$I$2)),0)+IF($J53&gt;0,MIN($T$3,$J53*(1+$J$2)),0)+IF($K53&gt;0,MIN($U$3,$K53*(1+$K$2)),0)+IF($L53&gt;0,MIN($V$3,$L53*(1+$L$2)),0)))),MIN($M$3,$C53*(1+C$2))))</f>
        <v/>
      </c>
      <c r="N54" s="37">
        <f>IF($D53&lt;=0,0,IF($Y54=2,MIN($D53*(1+D$2),MAX(0,$B54-(IF($C53&gt;0,MIN($M$3,$C53*(1+$C$2)),0)+IF($E53&gt;0,MIN($O$3,$E53*(1+$E$2)),0)+IF($F53&gt;0,MIN($P$3,$F53*(1+$F$2)),0)+IF($G53&gt;0,MIN($Q$3,$G53*(1+$G$2)),0)+IF($H53&gt;0,MIN($R$3,$H53*(1+$H$2)),0)+IF($I53&gt;0,MIN($S$3,$I53*(1+$I$2)),0)+IF($J53&gt;0,MIN($T$3,$J53*(1+$J$2)),0)+IF($K53&gt;0,MIN($U$3,$K53*(1+$K$2)),0)+IF($L53&gt;0,MIN($V$3,$L53*(1+$L$2)),0)))),MIN($N$3,$D53*(1+D$2))))</f>
        <v/>
      </c>
      <c r="O54" s="37">
        <f>IF($E53&lt;=0,0,IF($Y54=3,MIN($E53*(1+E$2),MAX(0,$B54-(IF($C53&gt;0,MIN($M$3,$C53*(1+$C$2)),0)+IF($D53&gt;0,MIN($N$3,$D53*(1+$D$2)),0)+IF($F53&gt;0,MIN($P$3,$F53*(1+$F$2)),0)+IF($G53&gt;0,MIN($Q$3,$G53*(1+$G$2)),0)+IF($H53&gt;0,MIN($R$3,$H53*(1+$H$2)),0)+IF($I53&gt;0,MIN($S$3,$I53*(1+$I$2)),0)+IF($J53&gt;0,MIN($T$3,$J53*(1+$J$2)),0)+IF($K53&gt;0,MIN($U$3,$K53*(1+$K$2)),0)+IF($L53&gt;0,MIN($V$3,$L53*(1+$L$2)),0)))),MIN($O$3,$E53*(1+E$2))))</f>
        <v/>
      </c>
      <c r="P54" s="37">
        <f>IF($F53&lt;=0,0,IF($Y54=4,MIN($F53*(1+F$2),MAX(0,$B54-(IF($C53&gt;0,MIN($M$3,$C53*(1+$C$2)),0)+IF($D53&gt;0,MIN($N$3,$D53*(1+$D$2)),0)+IF($E53&gt;0,MIN($O$3,$E53*(1+$E$2)),0)+IF($G53&gt;0,MIN($Q$3,$G53*(1+$G$2)),0)+IF($H53&gt;0,MIN($R$3,$H53*(1+$H$2)),0)+IF($I53&gt;0,MIN($S$3,$I53*(1+$I$2)),0)+IF($J53&gt;0,MIN($T$3,$J53*(1+$J$2)),0)+IF($K53&gt;0,MIN($U$3,$K53*(1+$K$2)),0)+IF($L53&gt;0,MIN($V$3,$L53*(1+$L$2)),0)))),MIN($P$3,$F53*(1+F$2))))</f>
        <v/>
      </c>
      <c r="Q54" s="37">
        <f>IF($G53&lt;=0,0,IF($Y54=5,MIN($G53*(1+G$2),MAX(0,$B54-(IF($C53&gt;0,MIN($M$3,$C53*(1+$C$2)),0)+IF($D53&gt;0,MIN($N$3,$D53*(1+$D$2)),0)+IF($E53&gt;0,MIN($O$3,$E53*(1+$E$2)),0)+IF($F53&gt;0,MIN($P$3,$F53*(1+$F$2)),0)+IF($H53&gt;0,MIN($R$3,$H53*(1+$H$2)),0)+IF($I53&gt;0,MIN($S$3,$I53*(1+$I$2)),0)+IF($J53&gt;0,MIN($T$3,$J53*(1+$J$2)),0)+IF($K53&gt;0,MIN($U$3,$K53*(1+$K$2)),0)+IF($L53&gt;0,MIN($V$3,$L53*(1+$L$2)),0)))),MIN($Q$3,$G53*(1+G$2))))</f>
        <v/>
      </c>
      <c r="R54" s="37">
        <f>IF($H53&lt;=0,0,IF($Y54=6,MIN($H53*(1+H$2),MAX(0,$B54-(IF($C53&gt;0,MIN($M$3,$C53*(1+$C$2)),0)+IF($D53&gt;0,MIN($N$3,$D53*(1+$D$2)),0)+IF($E53&gt;0,MIN($O$3,$E53*(1+$E$2)),0)+IF($F53&gt;0,MIN($P$3,$F53*(1+$F$2)),0)+IF($G53&gt;0,MIN($Q$3,$G53*(1+$G$2)),0)+IF($I53&gt;0,MIN($S$3,$I53*(1+$I$2)),0)+IF($J53&gt;0,MIN($T$3,$J53*(1+$J$2)),0)+IF($K53&gt;0,MIN($U$3,$K53*(1+$K$2)),0)+IF($L53&gt;0,MIN($V$3,$L53*(1+$L$2)),0)))),MIN($R$3,$H53*(1+H$2))))</f>
        <v/>
      </c>
      <c r="S54" s="37">
        <f>IF($I53&lt;=0,0,IF($Y54=7,MIN($I53*(1+I$2),MAX(0,$B54-(IF($C53&gt;0,MIN($M$3,$C53*(1+$C$2)),0)+IF($D53&gt;0,MIN($N$3,$D53*(1+$D$2)),0)+IF($E53&gt;0,MIN($O$3,$E53*(1+$E$2)),0)+IF($F53&gt;0,MIN($P$3,$F53*(1+$F$2)),0)+IF($G53&gt;0,MIN($Q$3,$G53*(1+$G$2)),0)+IF($H53&gt;0,MIN($R$3,$H53*(1+$H$2)),0)+IF($J53&gt;0,MIN($T$3,$J53*(1+$J$2)),0)+IF($K53&gt;0,MIN($U$3,$K53*(1+$K$2)),0)+IF($L53&gt;0,MIN($V$3,$L53*(1+$L$2)),0)))),MIN($S$3,$I53*(1+I$2))))</f>
        <v/>
      </c>
      <c r="T54" s="37">
        <f>IF($J53&lt;=0,0,IF($Y54=8,MIN($J53*(1+J$2),MAX(0,$B54-(IF($C53&gt;0,MIN($M$3,$C53*(1+$C$2)),0)+IF($D53&gt;0,MIN($N$3,$D53*(1+$D$2)),0)+IF($E53&gt;0,MIN($O$3,$E53*(1+$E$2)),0)+IF($F53&gt;0,MIN($P$3,$F53*(1+$F$2)),0)+IF($G53&gt;0,MIN($Q$3,$G53*(1+$G$2)),0)+IF($H53&gt;0,MIN($R$3,$H53*(1+$H$2)),0)+IF($I53&gt;0,MIN($S$3,$I53*(1+$I$2)),0)+IF($K53&gt;0,MIN($U$3,$K53*(1+$K$2)),0)+IF($L53&gt;0,MIN($V$3,$L53*(1+$L$2)),0)))),MIN($T$3,$J53*(1+J$2))))</f>
        <v/>
      </c>
      <c r="U54" s="37">
        <f>IF($K53&lt;=0,0,IF($Y54=9,MIN($K53*(1+K$2),MAX(0,$B54-(IF($C53&gt;0,MIN($M$3,$C53*(1+$C$2)),0)+IF($D53&gt;0,MIN($N$3,$D53*(1+$D$2)),0)+IF($E53&gt;0,MIN($O$3,$E53*(1+$E$2)),0)+IF($F53&gt;0,MIN($P$3,$F53*(1+$F$2)),0)+IF($G53&gt;0,MIN($Q$3,$G53*(1+$G$2)),0)+IF($H53&gt;0,MIN($R$3,$H53*(1+$H$2)),0)+IF($I53&gt;0,MIN($S$3,$I53*(1+$I$2)),0)+IF($J53&gt;0,MIN($T$3,$J53*(1+$J$2)),0)+IF($L53&gt;0,MIN($V$3,$L53*(1+$L$2)),0)))),MIN($U$3,$K53*(1+K$2))))</f>
        <v/>
      </c>
      <c r="V54" s="37">
        <f>IF($L53&lt;=0,0,IF($Y54=10,MIN($L53*(1+L$2),MAX(0,$B54-(IF($C53&gt;0,MIN($M$3,$C53*(1+$C$2)),0)+IF($D53&gt;0,MIN($N$3,$D53*(1+$D$2)),0)+IF($E53&gt;0,MIN($O$3,$E53*(1+$E$2)),0)+IF($F53&gt;0,MIN($P$3,$F53*(1+$F$2)),0)+IF($G53&gt;0,MIN($Q$3,$G53*(1+$G$2)),0)+IF($H53&gt;0,MIN($R$3,$H53*(1+$H$2)),0)+IF($I53&gt;0,MIN($S$3,$I53*(1+$I$2)),0)+IF($J53&gt;0,MIN($T$3,$J53*(1+$J$2)),0)+IF($K53&gt;0,MIN($U$3,$K53*(1+$K$2)),0)))),MIN($V$3,$L53*(1+L$2))))</f>
        <v/>
      </c>
      <c r="W54" s="37">
        <f>ROUND(SUMPRODUCT($C53:$L53,$C$2:$L$2),2)</f>
        <v/>
      </c>
      <c r="X54" s="37">
        <f>SUM($C54:$L54)</f>
        <v/>
      </c>
      <c r="Y54" s="42">
        <f>IF($X53=0,"",MIN(IF($C53&gt;0,1,'My Debts'!$B$13+1),IF($D53&gt;0,2,'My Debts'!$B$13+1),IF($E53&gt;0,3,'My Debts'!$B$13+1),IF($F53&gt;0,4,'My Debts'!$B$13+1),IF($G53&gt;0,5,'My Debts'!$B$13+1),IF($H53&gt;0,6,'My Debts'!$B$13+1),IF($I53&gt;0,7,'My Debts'!$B$13+1),IF($J53&gt;0,8,'My Debts'!$B$13+1),IF($K53&gt;0,9,'My Debts'!$B$13+1),IF($L53&gt;0,10,'My Debts'!$B$13+1)))</f>
        <v/>
      </c>
    </row>
    <row r="55" ht="18" customHeight="1" s="44">
      <c r="A55" s="42" t="n">
        <v>50</v>
      </c>
      <c r="B55" s="37">
        <f>IF($X54&gt;0,'My Debts'!$B$8,0)</f>
        <v/>
      </c>
      <c r="C55" s="37">
        <f>ROUND(MAX(0,$C54*(1+C$2)-M55),2)</f>
        <v/>
      </c>
      <c r="D55" s="37">
        <f>ROUND(MAX(0,$D54*(1+D$2)-N55),2)</f>
        <v/>
      </c>
      <c r="E55" s="37">
        <f>ROUND(MAX(0,$E54*(1+E$2)-O55),2)</f>
        <v/>
      </c>
      <c r="F55" s="37">
        <f>ROUND(MAX(0,$F54*(1+F$2)-P55),2)</f>
        <v/>
      </c>
      <c r="G55" s="37">
        <f>ROUND(MAX(0,$G54*(1+G$2)-Q55),2)</f>
        <v/>
      </c>
      <c r="H55" s="37">
        <f>ROUND(MAX(0,$H54*(1+H$2)-R55),2)</f>
        <v/>
      </c>
      <c r="I55" s="37">
        <f>ROUND(MAX(0,$I54*(1+I$2)-S55),2)</f>
        <v/>
      </c>
      <c r="J55" s="37">
        <f>ROUND(MAX(0,$J54*(1+J$2)-T55),2)</f>
        <v/>
      </c>
      <c r="K55" s="37">
        <f>ROUND(MAX(0,$K54*(1+K$2)-U55),2)</f>
        <v/>
      </c>
      <c r="L55" s="37">
        <f>ROUND(MAX(0,$L54*(1+L$2)-V55),2)</f>
        <v/>
      </c>
      <c r="M55" s="37">
        <f>IF($C54&lt;=0,0,IF($Y55=1,MIN($C54*(1+C$2),MAX(0,$B55-(IF($D54&gt;0,MIN($N$3,$D54*(1+$D$2)),0)+IF($E54&gt;0,MIN($O$3,$E54*(1+$E$2)),0)+IF($F54&gt;0,MIN($P$3,$F54*(1+$F$2)),0)+IF($G54&gt;0,MIN($Q$3,$G54*(1+$G$2)),0)+IF($H54&gt;0,MIN($R$3,$H54*(1+$H$2)),0)+IF($I54&gt;0,MIN($S$3,$I54*(1+$I$2)),0)+IF($J54&gt;0,MIN($T$3,$J54*(1+$J$2)),0)+IF($K54&gt;0,MIN($U$3,$K54*(1+$K$2)),0)+IF($L54&gt;0,MIN($V$3,$L54*(1+$L$2)),0)))),MIN($M$3,$C54*(1+C$2))))</f>
        <v/>
      </c>
      <c r="N55" s="37">
        <f>IF($D54&lt;=0,0,IF($Y55=2,MIN($D54*(1+D$2),MAX(0,$B55-(IF($C54&gt;0,MIN($M$3,$C54*(1+$C$2)),0)+IF($E54&gt;0,MIN($O$3,$E54*(1+$E$2)),0)+IF($F54&gt;0,MIN($P$3,$F54*(1+$F$2)),0)+IF($G54&gt;0,MIN($Q$3,$G54*(1+$G$2)),0)+IF($H54&gt;0,MIN($R$3,$H54*(1+$H$2)),0)+IF($I54&gt;0,MIN($S$3,$I54*(1+$I$2)),0)+IF($J54&gt;0,MIN($T$3,$J54*(1+$J$2)),0)+IF($K54&gt;0,MIN($U$3,$K54*(1+$K$2)),0)+IF($L54&gt;0,MIN($V$3,$L54*(1+$L$2)),0)))),MIN($N$3,$D54*(1+D$2))))</f>
        <v/>
      </c>
      <c r="O55" s="37">
        <f>IF($E54&lt;=0,0,IF($Y55=3,MIN($E54*(1+E$2),MAX(0,$B55-(IF($C54&gt;0,MIN($M$3,$C54*(1+$C$2)),0)+IF($D54&gt;0,MIN($N$3,$D54*(1+$D$2)),0)+IF($F54&gt;0,MIN($P$3,$F54*(1+$F$2)),0)+IF($G54&gt;0,MIN($Q$3,$G54*(1+$G$2)),0)+IF($H54&gt;0,MIN($R$3,$H54*(1+$H$2)),0)+IF($I54&gt;0,MIN($S$3,$I54*(1+$I$2)),0)+IF($J54&gt;0,MIN($T$3,$J54*(1+$J$2)),0)+IF($K54&gt;0,MIN($U$3,$K54*(1+$K$2)),0)+IF($L54&gt;0,MIN($V$3,$L54*(1+$L$2)),0)))),MIN($O$3,$E54*(1+E$2))))</f>
        <v/>
      </c>
      <c r="P55" s="37">
        <f>IF($F54&lt;=0,0,IF($Y55=4,MIN($F54*(1+F$2),MAX(0,$B55-(IF($C54&gt;0,MIN($M$3,$C54*(1+$C$2)),0)+IF($D54&gt;0,MIN($N$3,$D54*(1+$D$2)),0)+IF($E54&gt;0,MIN($O$3,$E54*(1+$E$2)),0)+IF($G54&gt;0,MIN($Q$3,$G54*(1+$G$2)),0)+IF($H54&gt;0,MIN($R$3,$H54*(1+$H$2)),0)+IF($I54&gt;0,MIN($S$3,$I54*(1+$I$2)),0)+IF($J54&gt;0,MIN($T$3,$J54*(1+$J$2)),0)+IF($K54&gt;0,MIN($U$3,$K54*(1+$K$2)),0)+IF($L54&gt;0,MIN($V$3,$L54*(1+$L$2)),0)))),MIN($P$3,$F54*(1+F$2))))</f>
        <v/>
      </c>
      <c r="Q55" s="37">
        <f>IF($G54&lt;=0,0,IF($Y55=5,MIN($G54*(1+G$2),MAX(0,$B55-(IF($C54&gt;0,MIN($M$3,$C54*(1+$C$2)),0)+IF($D54&gt;0,MIN($N$3,$D54*(1+$D$2)),0)+IF($E54&gt;0,MIN($O$3,$E54*(1+$E$2)),0)+IF($F54&gt;0,MIN($P$3,$F54*(1+$F$2)),0)+IF($H54&gt;0,MIN($R$3,$H54*(1+$H$2)),0)+IF($I54&gt;0,MIN($S$3,$I54*(1+$I$2)),0)+IF($J54&gt;0,MIN($T$3,$J54*(1+$J$2)),0)+IF($K54&gt;0,MIN($U$3,$K54*(1+$K$2)),0)+IF($L54&gt;0,MIN($V$3,$L54*(1+$L$2)),0)))),MIN($Q$3,$G54*(1+G$2))))</f>
        <v/>
      </c>
      <c r="R55" s="37">
        <f>IF($H54&lt;=0,0,IF($Y55=6,MIN($H54*(1+H$2),MAX(0,$B55-(IF($C54&gt;0,MIN($M$3,$C54*(1+$C$2)),0)+IF($D54&gt;0,MIN($N$3,$D54*(1+$D$2)),0)+IF($E54&gt;0,MIN($O$3,$E54*(1+$E$2)),0)+IF($F54&gt;0,MIN($P$3,$F54*(1+$F$2)),0)+IF($G54&gt;0,MIN($Q$3,$G54*(1+$G$2)),0)+IF($I54&gt;0,MIN($S$3,$I54*(1+$I$2)),0)+IF($J54&gt;0,MIN($T$3,$J54*(1+$J$2)),0)+IF($K54&gt;0,MIN($U$3,$K54*(1+$K$2)),0)+IF($L54&gt;0,MIN($V$3,$L54*(1+$L$2)),0)))),MIN($R$3,$H54*(1+H$2))))</f>
        <v/>
      </c>
      <c r="S55" s="37">
        <f>IF($I54&lt;=0,0,IF($Y55=7,MIN($I54*(1+I$2),MAX(0,$B55-(IF($C54&gt;0,MIN($M$3,$C54*(1+$C$2)),0)+IF($D54&gt;0,MIN($N$3,$D54*(1+$D$2)),0)+IF($E54&gt;0,MIN($O$3,$E54*(1+$E$2)),0)+IF($F54&gt;0,MIN($P$3,$F54*(1+$F$2)),0)+IF($G54&gt;0,MIN($Q$3,$G54*(1+$G$2)),0)+IF($H54&gt;0,MIN($R$3,$H54*(1+$H$2)),0)+IF($J54&gt;0,MIN($T$3,$J54*(1+$J$2)),0)+IF($K54&gt;0,MIN($U$3,$K54*(1+$K$2)),0)+IF($L54&gt;0,MIN($V$3,$L54*(1+$L$2)),0)))),MIN($S$3,$I54*(1+I$2))))</f>
        <v/>
      </c>
      <c r="T55" s="37">
        <f>IF($J54&lt;=0,0,IF($Y55=8,MIN($J54*(1+J$2),MAX(0,$B55-(IF($C54&gt;0,MIN($M$3,$C54*(1+$C$2)),0)+IF($D54&gt;0,MIN($N$3,$D54*(1+$D$2)),0)+IF($E54&gt;0,MIN($O$3,$E54*(1+$E$2)),0)+IF($F54&gt;0,MIN($P$3,$F54*(1+$F$2)),0)+IF($G54&gt;0,MIN($Q$3,$G54*(1+$G$2)),0)+IF($H54&gt;0,MIN($R$3,$H54*(1+$H$2)),0)+IF($I54&gt;0,MIN($S$3,$I54*(1+$I$2)),0)+IF($K54&gt;0,MIN($U$3,$K54*(1+$K$2)),0)+IF($L54&gt;0,MIN($V$3,$L54*(1+$L$2)),0)))),MIN($T$3,$J54*(1+J$2))))</f>
        <v/>
      </c>
      <c r="U55" s="37">
        <f>IF($K54&lt;=0,0,IF($Y55=9,MIN($K54*(1+K$2),MAX(0,$B55-(IF($C54&gt;0,MIN($M$3,$C54*(1+$C$2)),0)+IF($D54&gt;0,MIN($N$3,$D54*(1+$D$2)),0)+IF($E54&gt;0,MIN($O$3,$E54*(1+$E$2)),0)+IF($F54&gt;0,MIN($P$3,$F54*(1+$F$2)),0)+IF($G54&gt;0,MIN($Q$3,$G54*(1+$G$2)),0)+IF($H54&gt;0,MIN($R$3,$H54*(1+$H$2)),0)+IF($I54&gt;0,MIN($S$3,$I54*(1+$I$2)),0)+IF($J54&gt;0,MIN($T$3,$J54*(1+$J$2)),0)+IF($L54&gt;0,MIN($V$3,$L54*(1+$L$2)),0)))),MIN($U$3,$K54*(1+K$2))))</f>
        <v/>
      </c>
      <c r="V55" s="37">
        <f>IF($L54&lt;=0,0,IF($Y55=10,MIN($L54*(1+L$2),MAX(0,$B55-(IF($C54&gt;0,MIN($M$3,$C54*(1+$C$2)),0)+IF($D54&gt;0,MIN($N$3,$D54*(1+$D$2)),0)+IF($E54&gt;0,MIN($O$3,$E54*(1+$E$2)),0)+IF($F54&gt;0,MIN($P$3,$F54*(1+$F$2)),0)+IF($G54&gt;0,MIN($Q$3,$G54*(1+$G$2)),0)+IF($H54&gt;0,MIN($R$3,$H54*(1+$H$2)),0)+IF($I54&gt;0,MIN($S$3,$I54*(1+$I$2)),0)+IF($J54&gt;0,MIN($T$3,$J54*(1+$J$2)),0)+IF($K54&gt;0,MIN($U$3,$K54*(1+$K$2)),0)))),MIN($V$3,$L54*(1+L$2))))</f>
        <v/>
      </c>
      <c r="W55" s="37">
        <f>ROUND(SUMPRODUCT($C54:$L54,$C$2:$L$2),2)</f>
        <v/>
      </c>
      <c r="X55" s="37">
        <f>SUM($C55:$L55)</f>
        <v/>
      </c>
      <c r="Y55" s="42">
        <f>IF($X54=0,"",MIN(IF($C54&gt;0,1,'My Debts'!$B$13+1),IF($D54&gt;0,2,'My Debts'!$B$13+1),IF($E54&gt;0,3,'My Debts'!$B$13+1),IF($F54&gt;0,4,'My Debts'!$B$13+1),IF($G54&gt;0,5,'My Debts'!$B$13+1),IF($H54&gt;0,6,'My Debts'!$B$13+1),IF($I54&gt;0,7,'My Debts'!$B$13+1),IF($J54&gt;0,8,'My Debts'!$B$13+1),IF($K54&gt;0,9,'My Debts'!$B$13+1),IF($L54&gt;0,10,'My Debts'!$B$13+1)))</f>
        <v/>
      </c>
    </row>
    <row r="56" ht="18" customHeight="1" s="44">
      <c r="A56" s="42" t="n">
        <v>51</v>
      </c>
      <c r="B56" s="37">
        <f>IF($X55&gt;0,'My Debts'!$B$8,0)</f>
        <v/>
      </c>
      <c r="C56" s="37">
        <f>ROUND(MAX(0,$C55*(1+C$2)-M56),2)</f>
        <v/>
      </c>
      <c r="D56" s="37">
        <f>ROUND(MAX(0,$D55*(1+D$2)-N56),2)</f>
        <v/>
      </c>
      <c r="E56" s="37">
        <f>ROUND(MAX(0,$E55*(1+E$2)-O56),2)</f>
        <v/>
      </c>
      <c r="F56" s="37">
        <f>ROUND(MAX(0,$F55*(1+F$2)-P56),2)</f>
        <v/>
      </c>
      <c r="G56" s="37">
        <f>ROUND(MAX(0,$G55*(1+G$2)-Q56),2)</f>
        <v/>
      </c>
      <c r="H56" s="37">
        <f>ROUND(MAX(0,$H55*(1+H$2)-R56),2)</f>
        <v/>
      </c>
      <c r="I56" s="37">
        <f>ROUND(MAX(0,$I55*(1+I$2)-S56),2)</f>
        <v/>
      </c>
      <c r="J56" s="37">
        <f>ROUND(MAX(0,$J55*(1+J$2)-T56),2)</f>
        <v/>
      </c>
      <c r="K56" s="37">
        <f>ROUND(MAX(0,$K55*(1+K$2)-U56),2)</f>
        <v/>
      </c>
      <c r="L56" s="37">
        <f>ROUND(MAX(0,$L55*(1+L$2)-V56),2)</f>
        <v/>
      </c>
      <c r="M56" s="37">
        <f>IF($C55&lt;=0,0,IF($Y56=1,MIN($C55*(1+C$2),MAX(0,$B56-(IF($D55&gt;0,MIN($N$3,$D55*(1+$D$2)),0)+IF($E55&gt;0,MIN($O$3,$E55*(1+$E$2)),0)+IF($F55&gt;0,MIN($P$3,$F55*(1+$F$2)),0)+IF($G55&gt;0,MIN($Q$3,$G55*(1+$G$2)),0)+IF($H55&gt;0,MIN($R$3,$H55*(1+$H$2)),0)+IF($I55&gt;0,MIN($S$3,$I55*(1+$I$2)),0)+IF($J55&gt;0,MIN($T$3,$J55*(1+$J$2)),0)+IF($K55&gt;0,MIN($U$3,$K55*(1+$K$2)),0)+IF($L55&gt;0,MIN($V$3,$L55*(1+$L$2)),0)))),MIN($M$3,$C55*(1+C$2))))</f>
        <v/>
      </c>
      <c r="N56" s="37">
        <f>IF($D55&lt;=0,0,IF($Y56=2,MIN($D55*(1+D$2),MAX(0,$B56-(IF($C55&gt;0,MIN($M$3,$C55*(1+$C$2)),0)+IF($E55&gt;0,MIN($O$3,$E55*(1+$E$2)),0)+IF($F55&gt;0,MIN($P$3,$F55*(1+$F$2)),0)+IF($G55&gt;0,MIN($Q$3,$G55*(1+$G$2)),0)+IF($H55&gt;0,MIN($R$3,$H55*(1+$H$2)),0)+IF($I55&gt;0,MIN($S$3,$I55*(1+$I$2)),0)+IF($J55&gt;0,MIN($T$3,$J55*(1+$J$2)),0)+IF($K55&gt;0,MIN($U$3,$K55*(1+$K$2)),0)+IF($L55&gt;0,MIN($V$3,$L55*(1+$L$2)),0)))),MIN($N$3,$D55*(1+D$2))))</f>
        <v/>
      </c>
      <c r="O56" s="37">
        <f>IF($E55&lt;=0,0,IF($Y56=3,MIN($E55*(1+E$2),MAX(0,$B56-(IF($C55&gt;0,MIN($M$3,$C55*(1+$C$2)),0)+IF($D55&gt;0,MIN($N$3,$D55*(1+$D$2)),0)+IF($F55&gt;0,MIN($P$3,$F55*(1+$F$2)),0)+IF($G55&gt;0,MIN($Q$3,$G55*(1+$G$2)),0)+IF($H55&gt;0,MIN($R$3,$H55*(1+$H$2)),0)+IF($I55&gt;0,MIN($S$3,$I55*(1+$I$2)),0)+IF($J55&gt;0,MIN($T$3,$J55*(1+$J$2)),0)+IF($K55&gt;0,MIN($U$3,$K55*(1+$K$2)),0)+IF($L55&gt;0,MIN($V$3,$L55*(1+$L$2)),0)))),MIN($O$3,$E55*(1+E$2))))</f>
        <v/>
      </c>
      <c r="P56" s="37">
        <f>IF($F55&lt;=0,0,IF($Y56=4,MIN($F55*(1+F$2),MAX(0,$B56-(IF($C55&gt;0,MIN($M$3,$C55*(1+$C$2)),0)+IF($D55&gt;0,MIN($N$3,$D55*(1+$D$2)),0)+IF($E55&gt;0,MIN($O$3,$E55*(1+$E$2)),0)+IF($G55&gt;0,MIN($Q$3,$G55*(1+$G$2)),0)+IF($H55&gt;0,MIN($R$3,$H55*(1+$H$2)),0)+IF($I55&gt;0,MIN($S$3,$I55*(1+$I$2)),0)+IF($J55&gt;0,MIN($T$3,$J55*(1+$J$2)),0)+IF($K55&gt;0,MIN($U$3,$K55*(1+$K$2)),0)+IF($L55&gt;0,MIN($V$3,$L55*(1+$L$2)),0)))),MIN($P$3,$F55*(1+F$2))))</f>
        <v/>
      </c>
      <c r="Q56" s="37">
        <f>IF($G55&lt;=0,0,IF($Y56=5,MIN($G55*(1+G$2),MAX(0,$B56-(IF($C55&gt;0,MIN($M$3,$C55*(1+$C$2)),0)+IF($D55&gt;0,MIN($N$3,$D55*(1+$D$2)),0)+IF($E55&gt;0,MIN($O$3,$E55*(1+$E$2)),0)+IF($F55&gt;0,MIN($P$3,$F55*(1+$F$2)),0)+IF($H55&gt;0,MIN($R$3,$H55*(1+$H$2)),0)+IF($I55&gt;0,MIN($S$3,$I55*(1+$I$2)),0)+IF($J55&gt;0,MIN($T$3,$J55*(1+$J$2)),0)+IF($K55&gt;0,MIN($U$3,$K55*(1+$K$2)),0)+IF($L55&gt;0,MIN($V$3,$L55*(1+$L$2)),0)))),MIN($Q$3,$G55*(1+G$2))))</f>
        <v/>
      </c>
      <c r="R56" s="37">
        <f>IF($H55&lt;=0,0,IF($Y56=6,MIN($H55*(1+H$2),MAX(0,$B56-(IF($C55&gt;0,MIN($M$3,$C55*(1+$C$2)),0)+IF($D55&gt;0,MIN($N$3,$D55*(1+$D$2)),0)+IF($E55&gt;0,MIN($O$3,$E55*(1+$E$2)),0)+IF($F55&gt;0,MIN($P$3,$F55*(1+$F$2)),0)+IF($G55&gt;0,MIN($Q$3,$G55*(1+$G$2)),0)+IF($I55&gt;0,MIN($S$3,$I55*(1+$I$2)),0)+IF($J55&gt;0,MIN($T$3,$J55*(1+$J$2)),0)+IF($K55&gt;0,MIN($U$3,$K55*(1+$K$2)),0)+IF($L55&gt;0,MIN($V$3,$L55*(1+$L$2)),0)))),MIN($R$3,$H55*(1+H$2))))</f>
        <v/>
      </c>
      <c r="S56" s="37">
        <f>IF($I55&lt;=0,0,IF($Y56=7,MIN($I55*(1+I$2),MAX(0,$B56-(IF($C55&gt;0,MIN($M$3,$C55*(1+$C$2)),0)+IF($D55&gt;0,MIN($N$3,$D55*(1+$D$2)),0)+IF($E55&gt;0,MIN($O$3,$E55*(1+$E$2)),0)+IF($F55&gt;0,MIN($P$3,$F55*(1+$F$2)),0)+IF($G55&gt;0,MIN($Q$3,$G55*(1+$G$2)),0)+IF($H55&gt;0,MIN($R$3,$H55*(1+$H$2)),0)+IF($J55&gt;0,MIN($T$3,$J55*(1+$J$2)),0)+IF($K55&gt;0,MIN($U$3,$K55*(1+$K$2)),0)+IF($L55&gt;0,MIN($V$3,$L55*(1+$L$2)),0)))),MIN($S$3,$I55*(1+I$2))))</f>
        <v/>
      </c>
      <c r="T56" s="37">
        <f>IF($J55&lt;=0,0,IF($Y56=8,MIN($J55*(1+J$2),MAX(0,$B56-(IF($C55&gt;0,MIN($M$3,$C55*(1+$C$2)),0)+IF($D55&gt;0,MIN($N$3,$D55*(1+$D$2)),0)+IF($E55&gt;0,MIN($O$3,$E55*(1+$E$2)),0)+IF($F55&gt;0,MIN($P$3,$F55*(1+$F$2)),0)+IF($G55&gt;0,MIN($Q$3,$G55*(1+$G$2)),0)+IF($H55&gt;0,MIN($R$3,$H55*(1+$H$2)),0)+IF($I55&gt;0,MIN($S$3,$I55*(1+$I$2)),0)+IF($K55&gt;0,MIN($U$3,$K55*(1+$K$2)),0)+IF($L55&gt;0,MIN($V$3,$L55*(1+$L$2)),0)))),MIN($T$3,$J55*(1+J$2))))</f>
        <v/>
      </c>
      <c r="U56" s="37">
        <f>IF($K55&lt;=0,0,IF($Y56=9,MIN($K55*(1+K$2),MAX(0,$B56-(IF($C55&gt;0,MIN($M$3,$C55*(1+$C$2)),0)+IF($D55&gt;0,MIN($N$3,$D55*(1+$D$2)),0)+IF($E55&gt;0,MIN($O$3,$E55*(1+$E$2)),0)+IF($F55&gt;0,MIN($P$3,$F55*(1+$F$2)),0)+IF($G55&gt;0,MIN($Q$3,$G55*(1+$G$2)),0)+IF($H55&gt;0,MIN($R$3,$H55*(1+$H$2)),0)+IF($I55&gt;0,MIN($S$3,$I55*(1+$I$2)),0)+IF($J55&gt;0,MIN($T$3,$J55*(1+$J$2)),0)+IF($L55&gt;0,MIN($V$3,$L55*(1+$L$2)),0)))),MIN($U$3,$K55*(1+K$2))))</f>
        <v/>
      </c>
      <c r="V56" s="37">
        <f>IF($L55&lt;=0,0,IF($Y56=10,MIN($L55*(1+L$2),MAX(0,$B56-(IF($C55&gt;0,MIN($M$3,$C55*(1+$C$2)),0)+IF($D55&gt;0,MIN($N$3,$D55*(1+$D$2)),0)+IF($E55&gt;0,MIN($O$3,$E55*(1+$E$2)),0)+IF($F55&gt;0,MIN($P$3,$F55*(1+$F$2)),0)+IF($G55&gt;0,MIN($Q$3,$G55*(1+$G$2)),0)+IF($H55&gt;0,MIN($R$3,$H55*(1+$H$2)),0)+IF($I55&gt;0,MIN($S$3,$I55*(1+$I$2)),0)+IF($J55&gt;0,MIN($T$3,$J55*(1+$J$2)),0)+IF($K55&gt;0,MIN($U$3,$K55*(1+$K$2)),0)))),MIN($V$3,$L55*(1+L$2))))</f>
        <v/>
      </c>
      <c r="W56" s="37">
        <f>ROUND(SUMPRODUCT($C55:$L55,$C$2:$L$2),2)</f>
        <v/>
      </c>
      <c r="X56" s="37">
        <f>SUM($C56:$L56)</f>
        <v/>
      </c>
      <c r="Y56" s="42">
        <f>IF($X55=0,"",MIN(IF($C55&gt;0,1,'My Debts'!$B$13+1),IF($D55&gt;0,2,'My Debts'!$B$13+1),IF($E55&gt;0,3,'My Debts'!$B$13+1),IF($F55&gt;0,4,'My Debts'!$B$13+1),IF($G55&gt;0,5,'My Debts'!$B$13+1),IF($H55&gt;0,6,'My Debts'!$B$13+1),IF($I55&gt;0,7,'My Debts'!$B$13+1),IF($J55&gt;0,8,'My Debts'!$B$13+1),IF($K55&gt;0,9,'My Debts'!$B$13+1),IF($L55&gt;0,10,'My Debts'!$B$13+1)))</f>
        <v/>
      </c>
    </row>
    <row r="57" ht="18" customHeight="1" s="44">
      <c r="A57" s="42" t="n">
        <v>52</v>
      </c>
      <c r="B57" s="37">
        <f>IF($X56&gt;0,'My Debts'!$B$8,0)</f>
        <v/>
      </c>
      <c r="C57" s="37">
        <f>ROUND(MAX(0,$C56*(1+C$2)-M57),2)</f>
        <v/>
      </c>
      <c r="D57" s="37">
        <f>ROUND(MAX(0,$D56*(1+D$2)-N57),2)</f>
        <v/>
      </c>
      <c r="E57" s="37">
        <f>ROUND(MAX(0,$E56*(1+E$2)-O57),2)</f>
        <v/>
      </c>
      <c r="F57" s="37">
        <f>ROUND(MAX(0,$F56*(1+F$2)-P57),2)</f>
        <v/>
      </c>
      <c r="G57" s="37">
        <f>ROUND(MAX(0,$G56*(1+G$2)-Q57),2)</f>
        <v/>
      </c>
      <c r="H57" s="37">
        <f>ROUND(MAX(0,$H56*(1+H$2)-R57),2)</f>
        <v/>
      </c>
      <c r="I57" s="37">
        <f>ROUND(MAX(0,$I56*(1+I$2)-S57),2)</f>
        <v/>
      </c>
      <c r="J57" s="37">
        <f>ROUND(MAX(0,$J56*(1+J$2)-T57),2)</f>
        <v/>
      </c>
      <c r="K57" s="37">
        <f>ROUND(MAX(0,$K56*(1+K$2)-U57),2)</f>
        <v/>
      </c>
      <c r="L57" s="37">
        <f>ROUND(MAX(0,$L56*(1+L$2)-V57),2)</f>
        <v/>
      </c>
      <c r="M57" s="37">
        <f>IF($C56&lt;=0,0,IF($Y57=1,MIN($C56*(1+C$2),MAX(0,$B57-(IF($D56&gt;0,MIN($N$3,$D56*(1+$D$2)),0)+IF($E56&gt;0,MIN($O$3,$E56*(1+$E$2)),0)+IF($F56&gt;0,MIN($P$3,$F56*(1+$F$2)),0)+IF($G56&gt;0,MIN($Q$3,$G56*(1+$G$2)),0)+IF($H56&gt;0,MIN($R$3,$H56*(1+$H$2)),0)+IF($I56&gt;0,MIN($S$3,$I56*(1+$I$2)),0)+IF($J56&gt;0,MIN($T$3,$J56*(1+$J$2)),0)+IF($K56&gt;0,MIN($U$3,$K56*(1+$K$2)),0)+IF($L56&gt;0,MIN($V$3,$L56*(1+$L$2)),0)))),MIN($M$3,$C56*(1+C$2))))</f>
        <v/>
      </c>
      <c r="N57" s="37">
        <f>IF($D56&lt;=0,0,IF($Y57=2,MIN($D56*(1+D$2),MAX(0,$B57-(IF($C56&gt;0,MIN($M$3,$C56*(1+$C$2)),0)+IF($E56&gt;0,MIN($O$3,$E56*(1+$E$2)),0)+IF($F56&gt;0,MIN($P$3,$F56*(1+$F$2)),0)+IF($G56&gt;0,MIN($Q$3,$G56*(1+$G$2)),0)+IF($H56&gt;0,MIN($R$3,$H56*(1+$H$2)),0)+IF($I56&gt;0,MIN($S$3,$I56*(1+$I$2)),0)+IF($J56&gt;0,MIN($T$3,$J56*(1+$J$2)),0)+IF($K56&gt;0,MIN($U$3,$K56*(1+$K$2)),0)+IF($L56&gt;0,MIN($V$3,$L56*(1+$L$2)),0)))),MIN($N$3,$D56*(1+D$2))))</f>
        <v/>
      </c>
      <c r="O57" s="37">
        <f>IF($E56&lt;=0,0,IF($Y57=3,MIN($E56*(1+E$2),MAX(0,$B57-(IF($C56&gt;0,MIN($M$3,$C56*(1+$C$2)),0)+IF($D56&gt;0,MIN($N$3,$D56*(1+$D$2)),0)+IF($F56&gt;0,MIN($P$3,$F56*(1+$F$2)),0)+IF($G56&gt;0,MIN($Q$3,$G56*(1+$G$2)),0)+IF($H56&gt;0,MIN($R$3,$H56*(1+$H$2)),0)+IF($I56&gt;0,MIN($S$3,$I56*(1+$I$2)),0)+IF($J56&gt;0,MIN($T$3,$J56*(1+$J$2)),0)+IF($K56&gt;0,MIN($U$3,$K56*(1+$K$2)),0)+IF($L56&gt;0,MIN($V$3,$L56*(1+$L$2)),0)))),MIN($O$3,$E56*(1+E$2))))</f>
        <v/>
      </c>
      <c r="P57" s="37">
        <f>IF($F56&lt;=0,0,IF($Y57=4,MIN($F56*(1+F$2),MAX(0,$B57-(IF($C56&gt;0,MIN($M$3,$C56*(1+$C$2)),0)+IF($D56&gt;0,MIN($N$3,$D56*(1+$D$2)),0)+IF($E56&gt;0,MIN($O$3,$E56*(1+$E$2)),0)+IF($G56&gt;0,MIN($Q$3,$G56*(1+$G$2)),0)+IF($H56&gt;0,MIN($R$3,$H56*(1+$H$2)),0)+IF($I56&gt;0,MIN($S$3,$I56*(1+$I$2)),0)+IF($J56&gt;0,MIN($T$3,$J56*(1+$J$2)),0)+IF($K56&gt;0,MIN($U$3,$K56*(1+$K$2)),0)+IF($L56&gt;0,MIN($V$3,$L56*(1+$L$2)),0)))),MIN($P$3,$F56*(1+F$2))))</f>
        <v/>
      </c>
      <c r="Q57" s="37">
        <f>IF($G56&lt;=0,0,IF($Y57=5,MIN($G56*(1+G$2),MAX(0,$B57-(IF($C56&gt;0,MIN($M$3,$C56*(1+$C$2)),0)+IF($D56&gt;0,MIN($N$3,$D56*(1+$D$2)),0)+IF($E56&gt;0,MIN($O$3,$E56*(1+$E$2)),0)+IF($F56&gt;0,MIN($P$3,$F56*(1+$F$2)),0)+IF($H56&gt;0,MIN($R$3,$H56*(1+$H$2)),0)+IF($I56&gt;0,MIN($S$3,$I56*(1+$I$2)),0)+IF($J56&gt;0,MIN($T$3,$J56*(1+$J$2)),0)+IF($K56&gt;0,MIN($U$3,$K56*(1+$K$2)),0)+IF($L56&gt;0,MIN($V$3,$L56*(1+$L$2)),0)))),MIN($Q$3,$G56*(1+G$2))))</f>
        <v/>
      </c>
      <c r="R57" s="37">
        <f>IF($H56&lt;=0,0,IF($Y57=6,MIN($H56*(1+H$2),MAX(0,$B57-(IF($C56&gt;0,MIN($M$3,$C56*(1+$C$2)),0)+IF($D56&gt;0,MIN($N$3,$D56*(1+$D$2)),0)+IF($E56&gt;0,MIN($O$3,$E56*(1+$E$2)),0)+IF($F56&gt;0,MIN($P$3,$F56*(1+$F$2)),0)+IF($G56&gt;0,MIN($Q$3,$G56*(1+$G$2)),0)+IF($I56&gt;0,MIN($S$3,$I56*(1+$I$2)),0)+IF($J56&gt;0,MIN($T$3,$J56*(1+$J$2)),0)+IF($K56&gt;0,MIN($U$3,$K56*(1+$K$2)),0)+IF($L56&gt;0,MIN($V$3,$L56*(1+$L$2)),0)))),MIN($R$3,$H56*(1+H$2))))</f>
        <v/>
      </c>
      <c r="S57" s="37">
        <f>IF($I56&lt;=0,0,IF($Y57=7,MIN($I56*(1+I$2),MAX(0,$B57-(IF($C56&gt;0,MIN($M$3,$C56*(1+$C$2)),0)+IF($D56&gt;0,MIN($N$3,$D56*(1+$D$2)),0)+IF($E56&gt;0,MIN($O$3,$E56*(1+$E$2)),0)+IF($F56&gt;0,MIN($P$3,$F56*(1+$F$2)),0)+IF($G56&gt;0,MIN($Q$3,$G56*(1+$G$2)),0)+IF($H56&gt;0,MIN($R$3,$H56*(1+$H$2)),0)+IF($J56&gt;0,MIN($T$3,$J56*(1+$J$2)),0)+IF($K56&gt;0,MIN($U$3,$K56*(1+$K$2)),0)+IF($L56&gt;0,MIN($V$3,$L56*(1+$L$2)),0)))),MIN($S$3,$I56*(1+I$2))))</f>
        <v/>
      </c>
      <c r="T57" s="37">
        <f>IF($J56&lt;=0,0,IF($Y57=8,MIN($J56*(1+J$2),MAX(0,$B57-(IF($C56&gt;0,MIN($M$3,$C56*(1+$C$2)),0)+IF($D56&gt;0,MIN($N$3,$D56*(1+$D$2)),0)+IF($E56&gt;0,MIN($O$3,$E56*(1+$E$2)),0)+IF($F56&gt;0,MIN($P$3,$F56*(1+$F$2)),0)+IF($G56&gt;0,MIN($Q$3,$G56*(1+$G$2)),0)+IF($H56&gt;0,MIN($R$3,$H56*(1+$H$2)),0)+IF($I56&gt;0,MIN($S$3,$I56*(1+$I$2)),0)+IF($K56&gt;0,MIN($U$3,$K56*(1+$K$2)),0)+IF($L56&gt;0,MIN($V$3,$L56*(1+$L$2)),0)))),MIN($T$3,$J56*(1+J$2))))</f>
        <v/>
      </c>
      <c r="U57" s="37">
        <f>IF($K56&lt;=0,0,IF($Y57=9,MIN($K56*(1+K$2),MAX(0,$B57-(IF($C56&gt;0,MIN($M$3,$C56*(1+$C$2)),0)+IF($D56&gt;0,MIN($N$3,$D56*(1+$D$2)),0)+IF($E56&gt;0,MIN($O$3,$E56*(1+$E$2)),0)+IF($F56&gt;0,MIN($P$3,$F56*(1+$F$2)),0)+IF($G56&gt;0,MIN($Q$3,$G56*(1+$G$2)),0)+IF($H56&gt;0,MIN($R$3,$H56*(1+$H$2)),0)+IF($I56&gt;0,MIN($S$3,$I56*(1+$I$2)),0)+IF($J56&gt;0,MIN($T$3,$J56*(1+$J$2)),0)+IF($L56&gt;0,MIN($V$3,$L56*(1+$L$2)),0)))),MIN($U$3,$K56*(1+K$2))))</f>
        <v/>
      </c>
      <c r="V57" s="37">
        <f>IF($L56&lt;=0,0,IF($Y57=10,MIN($L56*(1+L$2),MAX(0,$B57-(IF($C56&gt;0,MIN($M$3,$C56*(1+$C$2)),0)+IF($D56&gt;0,MIN($N$3,$D56*(1+$D$2)),0)+IF($E56&gt;0,MIN($O$3,$E56*(1+$E$2)),0)+IF($F56&gt;0,MIN($P$3,$F56*(1+$F$2)),0)+IF($G56&gt;0,MIN($Q$3,$G56*(1+$G$2)),0)+IF($H56&gt;0,MIN($R$3,$H56*(1+$H$2)),0)+IF($I56&gt;0,MIN($S$3,$I56*(1+$I$2)),0)+IF($J56&gt;0,MIN($T$3,$J56*(1+$J$2)),0)+IF($K56&gt;0,MIN($U$3,$K56*(1+$K$2)),0)))),MIN($V$3,$L56*(1+L$2))))</f>
        <v/>
      </c>
      <c r="W57" s="37">
        <f>ROUND(SUMPRODUCT($C56:$L56,$C$2:$L$2),2)</f>
        <v/>
      </c>
      <c r="X57" s="37">
        <f>SUM($C57:$L57)</f>
        <v/>
      </c>
      <c r="Y57" s="42">
        <f>IF($X56=0,"",MIN(IF($C56&gt;0,1,'My Debts'!$B$13+1),IF($D56&gt;0,2,'My Debts'!$B$13+1),IF($E56&gt;0,3,'My Debts'!$B$13+1),IF($F56&gt;0,4,'My Debts'!$B$13+1),IF($G56&gt;0,5,'My Debts'!$B$13+1),IF($H56&gt;0,6,'My Debts'!$B$13+1),IF($I56&gt;0,7,'My Debts'!$B$13+1),IF($J56&gt;0,8,'My Debts'!$B$13+1),IF($K56&gt;0,9,'My Debts'!$B$13+1),IF($L56&gt;0,10,'My Debts'!$B$13+1)))</f>
        <v/>
      </c>
    </row>
    <row r="58" ht="18" customHeight="1" s="44">
      <c r="A58" s="42" t="n">
        <v>53</v>
      </c>
      <c r="B58" s="37">
        <f>IF($X57&gt;0,'My Debts'!$B$8,0)</f>
        <v/>
      </c>
      <c r="C58" s="37">
        <f>ROUND(MAX(0,$C57*(1+C$2)-M58),2)</f>
        <v/>
      </c>
      <c r="D58" s="37">
        <f>ROUND(MAX(0,$D57*(1+D$2)-N58),2)</f>
        <v/>
      </c>
      <c r="E58" s="37">
        <f>ROUND(MAX(0,$E57*(1+E$2)-O58),2)</f>
        <v/>
      </c>
      <c r="F58" s="37">
        <f>ROUND(MAX(0,$F57*(1+F$2)-P58),2)</f>
        <v/>
      </c>
      <c r="G58" s="37">
        <f>ROUND(MAX(0,$G57*(1+G$2)-Q58),2)</f>
        <v/>
      </c>
      <c r="H58" s="37">
        <f>ROUND(MAX(0,$H57*(1+H$2)-R58),2)</f>
        <v/>
      </c>
      <c r="I58" s="37">
        <f>ROUND(MAX(0,$I57*(1+I$2)-S58),2)</f>
        <v/>
      </c>
      <c r="J58" s="37">
        <f>ROUND(MAX(0,$J57*(1+J$2)-T58),2)</f>
        <v/>
      </c>
      <c r="K58" s="37">
        <f>ROUND(MAX(0,$K57*(1+K$2)-U58),2)</f>
        <v/>
      </c>
      <c r="L58" s="37">
        <f>ROUND(MAX(0,$L57*(1+L$2)-V58),2)</f>
        <v/>
      </c>
      <c r="M58" s="37">
        <f>IF($C57&lt;=0,0,IF($Y58=1,MIN($C57*(1+C$2),MAX(0,$B58-(IF($D57&gt;0,MIN($N$3,$D57*(1+$D$2)),0)+IF($E57&gt;0,MIN($O$3,$E57*(1+$E$2)),0)+IF($F57&gt;0,MIN($P$3,$F57*(1+$F$2)),0)+IF($G57&gt;0,MIN($Q$3,$G57*(1+$G$2)),0)+IF($H57&gt;0,MIN($R$3,$H57*(1+$H$2)),0)+IF($I57&gt;0,MIN($S$3,$I57*(1+$I$2)),0)+IF($J57&gt;0,MIN($T$3,$J57*(1+$J$2)),0)+IF($K57&gt;0,MIN($U$3,$K57*(1+$K$2)),0)+IF($L57&gt;0,MIN($V$3,$L57*(1+$L$2)),0)))),MIN($M$3,$C57*(1+C$2))))</f>
        <v/>
      </c>
      <c r="N58" s="37">
        <f>IF($D57&lt;=0,0,IF($Y58=2,MIN($D57*(1+D$2),MAX(0,$B58-(IF($C57&gt;0,MIN($M$3,$C57*(1+$C$2)),0)+IF($E57&gt;0,MIN($O$3,$E57*(1+$E$2)),0)+IF($F57&gt;0,MIN($P$3,$F57*(1+$F$2)),0)+IF($G57&gt;0,MIN($Q$3,$G57*(1+$G$2)),0)+IF($H57&gt;0,MIN($R$3,$H57*(1+$H$2)),0)+IF($I57&gt;0,MIN($S$3,$I57*(1+$I$2)),0)+IF($J57&gt;0,MIN($T$3,$J57*(1+$J$2)),0)+IF($K57&gt;0,MIN($U$3,$K57*(1+$K$2)),0)+IF($L57&gt;0,MIN($V$3,$L57*(1+$L$2)),0)))),MIN($N$3,$D57*(1+D$2))))</f>
        <v/>
      </c>
      <c r="O58" s="37">
        <f>IF($E57&lt;=0,0,IF($Y58=3,MIN($E57*(1+E$2),MAX(0,$B58-(IF($C57&gt;0,MIN($M$3,$C57*(1+$C$2)),0)+IF($D57&gt;0,MIN($N$3,$D57*(1+$D$2)),0)+IF($F57&gt;0,MIN($P$3,$F57*(1+$F$2)),0)+IF($G57&gt;0,MIN($Q$3,$G57*(1+$G$2)),0)+IF($H57&gt;0,MIN($R$3,$H57*(1+$H$2)),0)+IF($I57&gt;0,MIN($S$3,$I57*(1+$I$2)),0)+IF($J57&gt;0,MIN($T$3,$J57*(1+$J$2)),0)+IF($K57&gt;0,MIN($U$3,$K57*(1+$K$2)),0)+IF($L57&gt;0,MIN($V$3,$L57*(1+$L$2)),0)))),MIN($O$3,$E57*(1+E$2))))</f>
        <v/>
      </c>
      <c r="P58" s="37">
        <f>IF($F57&lt;=0,0,IF($Y58=4,MIN($F57*(1+F$2),MAX(0,$B58-(IF($C57&gt;0,MIN($M$3,$C57*(1+$C$2)),0)+IF($D57&gt;0,MIN($N$3,$D57*(1+$D$2)),0)+IF($E57&gt;0,MIN($O$3,$E57*(1+$E$2)),0)+IF($G57&gt;0,MIN($Q$3,$G57*(1+$G$2)),0)+IF($H57&gt;0,MIN($R$3,$H57*(1+$H$2)),0)+IF($I57&gt;0,MIN($S$3,$I57*(1+$I$2)),0)+IF($J57&gt;0,MIN($T$3,$J57*(1+$J$2)),0)+IF($K57&gt;0,MIN($U$3,$K57*(1+$K$2)),0)+IF($L57&gt;0,MIN($V$3,$L57*(1+$L$2)),0)))),MIN($P$3,$F57*(1+F$2))))</f>
        <v/>
      </c>
      <c r="Q58" s="37">
        <f>IF($G57&lt;=0,0,IF($Y58=5,MIN($G57*(1+G$2),MAX(0,$B58-(IF($C57&gt;0,MIN($M$3,$C57*(1+$C$2)),0)+IF($D57&gt;0,MIN($N$3,$D57*(1+$D$2)),0)+IF($E57&gt;0,MIN($O$3,$E57*(1+$E$2)),0)+IF($F57&gt;0,MIN($P$3,$F57*(1+$F$2)),0)+IF($H57&gt;0,MIN($R$3,$H57*(1+$H$2)),0)+IF($I57&gt;0,MIN($S$3,$I57*(1+$I$2)),0)+IF($J57&gt;0,MIN($T$3,$J57*(1+$J$2)),0)+IF($K57&gt;0,MIN($U$3,$K57*(1+$K$2)),0)+IF($L57&gt;0,MIN($V$3,$L57*(1+$L$2)),0)))),MIN($Q$3,$G57*(1+G$2))))</f>
        <v/>
      </c>
      <c r="R58" s="37">
        <f>IF($H57&lt;=0,0,IF($Y58=6,MIN($H57*(1+H$2),MAX(0,$B58-(IF($C57&gt;0,MIN($M$3,$C57*(1+$C$2)),0)+IF($D57&gt;0,MIN($N$3,$D57*(1+$D$2)),0)+IF($E57&gt;0,MIN($O$3,$E57*(1+$E$2)),0)+IF($F57&gt;0,MIN($P$3,$F57*(1+$F$2)),0)+IF($G57&gt;0,MIN($Q$3,$G57*(1+$G$2)),0)+IF($I57&gt;0,MIN($S$3,$I57*(1+$I$2)),0)+IF($J57&gt;0,MIN($T$3,$J57*(1+$J$2)),0)+IF($K57&gt;0,MIN($U$3,$K57*(1+$K$2)),0)+IF($L57&gt;0,MIN($V$3,$L57*(1+$L$2)),0)))),MIN($R$3,$H57*(1+H$2))))</f>
        <v/>
      </c>
      <c r="S58" s="37">
        <f>IF($I57&lt;=0,0,IF($Y58=7,MIN($I57*(1+I$2),MAX(0,$B58-(IF($C57&gt;0,MIN($M$3,$C57*(1+$C$2)),0)+IF($D57&gt;0,MIN($N$3,$D57*(1+$D$2)),0)+IF($E57&gt;0,MIN($O$3,$E57*(1+$E$2)),0)+IF($F57&gt;0,MIN($P$3,$F57*(1+$F$2)),0)+IF($G57&gt;0,MIN($Q$3,$G57*(1+$G$2)),0)+IF($H57&gt;0,MIN($R$3,$H57*(1+$H$2)),0)+IF($J57&gt;0,MIN($T$3,$J57*(1+$J$2)),0)+IF($K57&gt;0,MIN($U$3,$K57*(1+$K$2)),0)+IF($L57&gt;0,MIN($V$3,$L57*(1+$L$2)),0)))),MIN($S$3,$I57*(1+I$2))))</f>
        <v/>
      </c>
      <c r="T58" s="37">
        <f>IF($J57&lt;=0,0,IF($Y58=8,MIN($J57*(1+J$2),MAX(0,$B58-(IF($C57&gt;0,MIN($M$3,$C57*(1+$C$2)),0)+IF($D57&gt;0,MIN($N$3,$D57*(1+$D$2)),0)+IF($E57&gt;0,MIN($O$3,$E57*(1+$E$2)),0)+IF($F57&gt;0,MIN($P$3,$F57*(1+$F$2)),0)+IF($G57&gt;0,MIN($Q$3,$G57*(1+$G$2)),0)+IF($H57&gt;0,MIN($R$3,$H57*(1+$H$2)),0)+IF($I57&gt;0,MIN($S$3,$I57*(1+$I$2)),0)+IF($K57&gt;0,MIN($U$3,$K57*(1+$K$2)),0)+IF($L57&gt;0,MIN($V$3,$L57*(1+$L$2)),0)))),MIN($T$3,$J57*(1+J$2))))</f>
        <v/>
      </c>
      <c r="U58" s="37">
        <f>IF($K57&lt;=0,0,IF($Y58=9,MIN($K57*(1+K$2),MAX(0,$B58-(IF($C57&gt;0,MIN($M$3,$C57*(1+$C$2)),0)+IF($D57&gt;0,MIN($N$3,$D57*(1+$D$2)),0)+IF($E57&gt;0,MIN($O$3,$E57*(1+$E$2)),0)+IF($F57&gt;0,MIN($P$3,$F57*(1+$F$2)),0)+IF($G57&gt;0,MIN($Q$3,$G57*(1+$G$2)),0)+IF($H57&gt;0,MIN($R$3,$H57*(1+$H$2)),0)+IF($I57&gt;0,MIN($S$3,$I57*(1+$I$2)),0)+IF($J57&gt;0,MIN($T$3,$J57*(1+$J$2)),0)+IF($L57&gt;0,MIN($V$3,$L57*(1+$L$2)),0)))),MIN($U$3,$K57*(1+K$2))))</f>
        <v/>
      </c>
      <c r="V58" s="37">
        <f>IF($L57&lt;=0,0,IF($Y58=10,MIN($L57*(1+L$2),MAX(0,$B58-(IF($C57&gt;0,MIN($M$3,$C57*(1+$C$2)),0)+IF($D57&gt;0,MIN($N$3,$D57*(1+$D$2)),0)+IF($E57&gt;0,MIN($O$3,$E57*(1+$E$2)),0)+IF($F57&gt;0,MIN($P$3,$F57*(1+$F$2)),0)+IF($G57&gt;0,MIN($Q$3,$G57*(1+$G$2)),0)+IF($H57&gt;0,MIN($R$3,$H57*(1+$H$2)),0)+IF($I57&gt;0,MIN($S$3,$I57*(1+$I$2)),0)+IF($J57&gt;0,MIN($T$3,$J57*(1+$J$2)),0)+IF($K57&gt;0,MIN($U$3,$K57*(1+$K$2)),0)))),MIN($V$3,$L57*(1+L$2))))</f>
        <v/>
      </c>
      <c r="W58" s="37">
        <f>ROUND(SUMPRODUCT($C57:$L57,$C$2:$L$2),2)</f>
        <v/>
      </c>
      <c r="X58" s="37">
        <f>SUM($C58:$L58)</f>
        <v/>
      </c>
      <c r="Y58" s="42">
        <f>IF($X57=0,"",MIN(IF($C57&gt;0,1,'My Debts'!$B$13+1),IF($D57&gt;0,2,'My Debts'!$B$13+1),IF($E57&gt;0,3,'My Debts'!$B$13+1),IF($F57&gt;0,4,'My Debts'!$B$13+1),IF($G57&gt;0,5,'My Debts'!$B$13+1),IF($H57&gt;0,6,'My Debts'!$B$13+1),IF($I57&gt;0,7,'My Debts'!$B$13+1),IF($J57&gt;0,8,'My Debts'!$B$13+1),IF($K57&gt;0,9,'My Debts'!$B$13+1),IF($L57&gt;0,10,'My Debts'!$B$13+1)))</f>
        <v/>
      </c>
    </row>
    <row r="59" ht="18" customHeight="1" s="44">
      <c r="A59" s="42" t="n">
        <v>54</v>
      </c>
      <c r="B59" s="37">
        <f>IF($X58&gt;0,'My Debts'!$B$8,0)</f>
        <v/>
      </c>
      <c r="C59" s="37">
        <f>ROUND(MAX(0,$C58*(1+C$2)-M59),2)</f>
        <v/>
      </c>
      <c r="D59" s="37">
        <f>ROUND(MAX(0,$D58*(1+D$2)-N59),2)</f>
        <v/>
      </c>
      <c r="E59" s="37">
        <f>ROUND(MAX(0,$E58*(1+E$2)-O59),2)</f>
        <v/>
      </c>
      <c r="F59" s="37">
        <f>ROUND(MAX(0,$F58*(1+F$2)-P59),2)</f>
        <v/>
      </c>
      <c r="G59" s="37">
        <f>ROUND(MAX(0,$G58*(1+G$2)-Q59),2)</f>
        <v/>
      </c>
      <c r="H59" s="37">
        <f>ROUND(MAX(0,$H58*(1+H$2)-R59),2)</f>
        <v/>
      </c>
      <c r="I59" s="37">
        <f>ROUND(MAX(0,$I58*(1+I$2)-S59),2)</f>
        <v/>
      </c>
      <c r="J59" s="37">
        <f>ROUND(MAX(0,$J58*(1+J$2)-T59),2)</f>
        <v/>
      </c>
      <c r="K59" s="37">
        <f>ROUND(MAX(0,$K58*(1+K$2)-U59),2)</f>
        <v/>
      </c>
      <c r="L59" s="37">
        <f>ROUND(MAX(0,$L58*(1+L$2)-V59),2)</f>
        <v/>
      </c>
      <c r="M59" s="37">
        <f>IF($C58&lt;=0,0,IF($Y59=1,MIN($C58*(1+C$2),MAX(0,$B59-(IF($D58&gt;0,MIN($N$3,$D58*(1+$D$2)),0)+IF($E58&gt;0,MIN($O$3,$E58*(1+$E$2)),0)+IF($F58&gt;0,MIN($P$3,$F58*(1+$F$2)),0)+IF($G58&gt;0,MIN($Q$3,$G58*(1+$G$2)),0)+IF($H58&gt;0,MIN($R$3,$H58*(1+$H$2)),0)+IF($I58&gt;0,MIN($S$3,$I58*(1+$I$2)),0)+IF($J58&gt;0,MIN($T$3,$J58*(1+$J$2)),0)+IF($K58&gt;0,MIN($U$3,$K58*(1+$K$2)),0)+IF($L58&gt;0,MIN($V$3,$L58*(1+$L$2)),0)))),MIN($M$3,$C58*(1+C$2))))</f>
        <v/>
      </c>
      <c r="N59" s="37">
        <f>IF($D58&lt;=0,0,IF($Y59=2,MIN($D58*(1+D$2),MAX(0,$B59-(IF($C58&gt;0,MIN($M$3,$C58*(1+$C$2)),0)+IF($E58&gt;0,MIN($O$3,$E58*(1+$E$2)),0)+IF($F58&gt;0,MIN($P$3,$F58*(1+$F$2)),0)+IF($G58&gt;0,MIN($Q$3,$G58*(1+$G$2)),0)+IF($H58&gt;0,MIN($R$3,$H58*(1+$H$2)),0)+IF($I58&gt;0,MIN($S$3,$I58*(1+$I$2)),0)+IF($J58&gt;0,MIN($T$3,$J58*(1+$J$2)),0)+IF($K58&gt;0,MIN($U$3,$K58*(1+$K$2)),0)+IF($L58&gt;0,MIN($V$3,$L58*(1+$L$2)),0)))),MIN($N$3,$D58*(1+D$2))))</f>
        <v/>
      </c>
      <c r="O59" s="37">
        <f>IF($E58&lt;=0,0,IF($Y59=3,MIN($E58*(1+E$2),MAX(0,$B59-(IF($C58&gt;0,MIN($M$3,$C58*(1+$C$2)),0)+IF($D58&gt;0,MIN($N$3,$D58*(1+$D$2)),0)+IF($F58&gt;0,MIN($P$3,$F58*(1+$F$2)),0)+IF($G58&gt;0,MIN($Q$3,$G58*(1+$G$2)),0)+IF($H58&gt;0,MIN($R$3,$H58*(1+$H$2)),0)+IF($I58&gt;0,MIN($S$3,$I58*(1+$I$2)),0)+IF($J58&gt;0,MIN($T$3,$J58*(1+$J$2)),0)+IF($K58&gt;0,MIN($U$3,$K58*(1+$K$2)),0)+IF($L58&gt;0,MIN($V$3,$L58*(1+$L$2)),0)))),MIN($O$3,$E58*(1+E$2))))</f>
        <v/>
      </c>
      <c r="P59" s="37">
        <f>IF($F58&lt;=0,0,IF($Y59=4,MIN($F58*(1+F$2),MAX(0,$B59-(IF($C58&gt;0,MIN($M$3,$C58*(1+$C$2)),0)+IF($D58&gt;0,MIN($N$3,$D58*(1+$D$2)),0)+IF($E58&gt;0,MIN($O$3,$E58*(1+$E$2)),0)+IF($G58&gt;0,MIN($Q$3,$G58*(1+$G$2)),0)+IF($H58&gt;0,MIN($R$3,$H58*(1+$H$2)),0)+IF($I58&gt;0,MIN($S$3,$I58*(1+$I$2)),0)+IF($J58&gt;0,MIN($T$3,$J58*(1+$J$2)),0)+IF($K58&gt;0,MIN($U$3,$K58*(1+$K$2)),0)+IF($L58&gt;0,MIN($V$3,$L58*(1+$L$2)),0)))),MIN($P$3,$F58*(1+F$2))))</f>
        <v/>
      </c>
      <c r="Q59" s="37">
        <f>IF($G58&lt;=0,0,IF($Y59=5,MIN($G58*(1+G$2),MAX(0,$B59-(IF($C58&gt;0,MIN($M$3,$C58*(1+$C$2)),0)+IF($D58&gt;0,MIN($N$3,$D58*(1+$D$2)),0)+IF($E58&gt;0,MIN($O$3,$E58*(1+$E$2)),0)+IF($F58&gt;0,MIN($P$3,$F58*(1+$F$2)),0)+IF($H58&gt;0,MIN($R$3,$H58*(1+$H$2)),0)+IF($I58&gt;0,MIN($S$3,$I58*(1+$I$2)),0)+IF($J58&gt;0,MIN($T$3,$J58*(1+$J$2)),0)+IF($K58&gt;0,MIN($U$3,$K58*(1+$K$2)),0)+IF($L58&gt;0,MIN($V$3,$L58*(1+$L$2)),0)))),MIN($Q$3,$G58*(1+G$2))))</f>
        <v/>
      </c>
      <c r="R59" s="37">
        <f>IF($H58&lt;=0,0,IF($Y59=6,MIN($H58*(1+H$2),MAX(0,$B59-(IF($C58&gt;0,MIN($M$3,$C58*(1+$C$2)),0)+IF($D58&gt;0,MIN($N$3,$D58*(1+$D$2)),0)+IF($E58&gt;0,MIN($O$3,$E58*(1+$E$2)),0)+IF($F58&gt;0,MIN($P$3,$F58*(1+$F$2)),0)+IF($G58&gt;0,MIN($Q$3,$G58*(1+$G$2)),0)+IF($I58&gt;0,MIN($S$3,$I58*(1+$I$2)),0)+IF($J58&gt;0,MIN($T$3,$J58*(1+$J$2)),0)+IF($K58&gt;0,MIN($U$3,$K58*(1+$K$2)),0)+IF($L58&gt;0,MIN($V$3,$L58*(1+$L$2)),0)))),MIN($R$3,$H58*(1+H$2))))</f>
        <v/>
      </c>
      <c r="S59" s="37">
        <f>IF($I58&lt;=0,0,IF($Y59=7,MIN($I58*(1+I$2),MAX(0,$B59-(IF($C58&gt;0,MIN($M$3,$C58*(1+$C$2)),0)+IF($D58&gt;0,MIN($N$3,$D58*(1+$D$2)),0)+IF($E58&gt;0,MIN($O$3,$E58*(1+$E$2)),0)+IF($F58&gt;0,MIN($P$3,$F58*(1+$F$2)),0)+IF($G58&gt;0,MIN($Q$3,$G58*(1+$G$2)),0)+IF($H58&gt;0,MIN($R$3,$H58*(1+$H$2)),0)+IF($J58&gt;0,MIN($T$3,$J58*(1+$J$2)),0)+IF($K58&gt;0,MIN($U$3,$K58*(1+$K$2)),0)+IF($L58&gt;0,MIN($V$3,$L58*(1+$L$2)),0)))),MIN($S$3,$I58*(1+I$2))))</f>
        <v/>
      </c>
      <c r="T59" s="37">
        <f>IF($J58&lt;=0,0,IF($Y59=8,MIN($J58*(1+J$2),MAX(0,$B59-(IF($C58&gt;0,MIN($M$3,$C58*(1+$C$2)),0)+IF($D58&gt;0,MIN($N$3,$D58*(1+$D$2)),0)+IF($E58&gt;0,MIN($O$3,$E58*(1+$E$2)),0)+IF($F58&gt;0,MIN($P$3,$F58*(1+$F$2)),0)+IF($G58&gt;0,MIN($Q$3,$G58*(1+$G$2)),0)+IF($H58&gt;0,MIN($R$3,$H58*(1+$H$2)),0)+IF($I58&gt;0,MIN($S$3,$I58*(1+$I$2)),0)+IF($K58&gt;0,MIN($U$3,$K58*(1+$K$2)),0)+IF($L58&gt;0,MIN($V$3,$L58*(1+$L$2)),0)))),MIN($T$3,$J58*(1+J$2))))</f>
        <v/>
      </c>
      <c r="U59" s="37">
        <f>IF($K58&lt;=0,0,IF($Y59=9,MIN($K58*(1+K$2),MAX(0,$B59-(IF($C58&gt;0,MIN($M$3,$C58*(1+$C$2)),0)+IF($D58&gt;0,MIN($N$3,$D58*(1+$D$2)),0)+IF($E58&gt;0,MIN($O$3,$E58*(1+$E$2)),0)+IF($F58&gt;0,MIN($P$3,$F58*(1+$F$2)),0)+IF($G58&gt;0,MIN($Q$3,$G58*(1+$G$2)),0)+IF($H58&gt;0,MIN($R$3,$H58*(1+$H$2)),0)+IF($I58&gt;0,MIN($S$3,$I58*(1+$I$2)),0)+IF($J58&gt;0,MIN($T$3,$J58*(1+$J$2)),0)+IF($L58&gt;0,MIN($V$3,$L58*(1+$L$2)),0)))),MIN($U$3,$K58*(1+K$2))))</f>
        <v/>
      </c>
      <c r="V59" s="37">
        <f>IF($L58&lt;=0,0,IF($Y59=10,MIN($L58*(1+L$2),MAX(0,$B59-(IF($C58&gt;0,MIN($M$3,$C58*(1+$C$2)),0)+IF($D58&gt;0,MIN($N$3,$D58*(1+$D$2)),0)+IF($E58&gt;0,MIN($O$3,$E58*(1+$E$2)),0)+IF($F58&gt;0,MIN($P$3,$F58*(1+$F$2)),0)+IF($G58&gt;0,MIN($Q$3,$G58*(1+$G$2)),0)+IF($H58&gt;0,MIN($R$3,$H58*(1+$H$2)),0)+IF($I58&gt;0,MIN($S$3,$I58*(1+$I$2)),0)+IF($J58&gt;0,MIN($T$3,$J58*(1+$J$2)),0)+IF($K58&gt;0,MIN($U$3,$K58*(1+$K$2)),0)))),MIN($V$3,$L58*(1+L$2))))</f>
        <v/>
      </c>
      <c r="W59" s="37">
        <f>ROUND(SUMPRODUCT($C58:$L58,$C$2:$L$2),2)</f>
        <v/>
      </c>
      <c r="X59" s="37">
        <f>SUM($C59:$L59)</f>
        <v/>
      </c>
      <c r="Y59" s="42">
        <f>IF($X58=0,"",MIN(IF($C58&gt;0,1,'My Debts'!$B$13+1),IF($D58&gt;0,2,'My Debts'!$B$13+1),IF($E58&gt;0,3,'My Debts'!$B$13+1),IF($F58&gt;0,4,'My Debts'!$B$13+1),IF($G58&gt;0,5,'My Debts'!$B$13+1),IF($H58&gt;0,6,'My Debts'!$B$13+1),IF($I58&gt;0,7,'My Debts'!$B$13+1),IF($J58&gt;0,8,'My Debts'!$B$13+1),IF($K58&gt;0,9,'My Debts'!$B$13+1),IF($L58&gt;0,10,'My Debts'!$B$13+1)))</f>
        <v/>
      </c>
    </row>
    <row r="60" ht="18" customHeight="1" s="44">
      <c r="A60" s="42" t="n">
        <v>55</v>
      </c>
      <c r="B60" s="37">
        <f>IF($X59&gt;0,'My Debts'!$B$8,0)</f>
        <v/>
      </c>
      <c r="C60" s="37">
        <f>ROUND(MAX(0,$C59*(1+C$2)-M60),2)</f>
        <v/>
      </c>
      <c r="D60" s="37">
        <f>ROUND(MAX(0,$D59*(1+D$2)-N60),2)</f>
        <v/>
      </c>
      <c r="E60" s="37">
        <f>ROUND(MAX(0,$E59*(1+E$2)-O60),2)</f>
        <v/>
      </c>
      <c r="F60" s="37">
        <f>ROUND(MAX(0,$F59*(1+F$2)-P60),2)</f>
        <v/>
      </c>
      <c r="G60" s="37">
        <f>ROUND(MAX(0,$G59*(1+G$2)-Q60),2)</f>
        <v/>
      </c>
      <c r="H60" s="37">
        <f>ROUND(MAX(0,$H59*(1+H$2)-R60),2)</f>
        <v/>
      </c>
      <c r="I60" s="37">
        <f>ROUND(MAX(0,$I59*(1+I$2)-S60),2)</f>
        <v/>
      </c>
      <c r="J60" s="37">
        <f>ROUND(MAX(0,$J59*(1+J$2)-T60),2)</f>
        <v/>
      </c>
      <c r="K60" s="37">
        <f>ROUND(MAX(0,$K59*(1+K$2)-U60),2)</f>
        <v/>
      </c>
      <c r="L60" s="37">
        <f>ROUND(MAX(0,$L59*(1+L$2)-V60),2)</f>
        <v/>
      </c>
      <c r="M60" s="37">
        <f>IF($C59&lt;=0,0,IF($Y60=1,MIN($C59*(1+C$2),MAX(0,$B60-(IF($D59&gt;0,MIN($N$3,$D59*(1+$D$2)),0)+IF($E59&gt;0,MIN($O$3,$E59*(1+$E$2)),0)+IF($F59&gt;0,MIN($P$3,$F59*(1+$F$2)),0)+IF($G59&gt;0,MIN($Q$3,$G59*(1+$G$2)),0)+IF($H59&gt;0,MIN($R$3,$H59*(1+$H$2)),0)+IF($I59&gt;0,MIN($S$3,$I59*(1+$I$2)),0)+IF($J59&gt;0,MIN($T$3,$J59*(1+$J$2)),0)+IF($K59&gt;0,MIN($U$3,$K59*(1+$K$2)),0)+IF($L59&gt;0,MIN($V$3,$L59*(1+$L$2)),0)))),MIN($M$3,$C59*(1+C$2))))</f>
        <v/>
      </c>
      <c r="N60" s="37">
        <f>IF($D59&lt;=0,0,IF($Y60=2,MIN($D59*(1+D$2),MAX(0,$B60-(IF($C59&gt;0,MIN($M$3,$C59*(1+$C$2)),0)+IF($E59&gt;0,MIN($O$3,$E59*(1+$E$2)),0)+IF($F59&gt;0,MIN($P$3,$F59*(1+$F$2)),0)+IF($G59&gt;0,MIN($Q$3,$G59*(1+$G$2)),0)+IF($H59&gt;0,MIN($R$3,$H59*(1+$H$2)),0)+IF($I59&gt;0,MIN($S$3,$I59*(1+$I$2)),0)+IF($J59&gt;0,MIN($T$3,$J59*(1+$J$2)),0)+IF($K59&gt;0,MIN($U$3,$K59*(1+$K$2)),0)+IF($L59&gt;0,MIN($V$3,$L59*(1+$L$2)),0)))),MIN($N$3,$D59*(1+D$2))))</f>
        <v/>
      </c>
      <c r="O60" s="37">
        <f>IF($E59&lt;=0,0,IF($Y60=3,MIN($E59*(1+E$2),MAX(0,$B60-(IF($C59&gt;0,MIN($M$3,$C59*(1+$C$2)),0)+IF($D59&gt;0,MIN($N$3,$D59*(1+$D$2)),0)+IF($F59&gt;0,MIN($P$3,$F59*(1+$F$2)),0)+IF($G59&gt;0,MIN($Q$3,$G59*(1+$G$2)),0)+IF($H59&gt;0,MIN($R$3,$H59*(1+$H$2)),0)+IF($I59&gt;0,MIN($S$3,$I59*(1+$I$2)),0)+IF($J59&gt;0,MIN($T$3,$J59*(1+$J$2)),0)+IF($K59&gt;0,MIN($U$3,$K59*(1+$K$2)),0)+IF($L59&gt;0,MIN($V$3,$L59*(1+$L$2)),0)))),MIN($O$3,$E59*(1+E$2))))</f>
        <v/>
      </c>
      <c r="P60" s="37">
        <f>IF($F59&lt;=0,0,IF($Y60=4,MIN($F59*(1+F$2),MAX(0,$B60-(IF($C59&gt;0,MIN($M$3,$C59*(1+$C$2)),0)+IF($D59&gt;0,MIN($N$3,$D59*(1+$D$2)),0)+IF($E59&gt;0,MIN($O$3,$E59*(1+$E$2)),0)+IF($G59&gt;0,MIN($Q$3,$G59*(1+$G$2)),0)+IF($H59&gt;0,MIN($R$3,$H59*(1+$H$2)),0)+IF($I59&gt;0,MIN($S$3,$I59*(1+$I$2)),0)+IF($J59&gt;0,MIN($T$3,$J59*(1+$J$2)),0)+IF($K59&gt;0,MIN($U$3,$K59*(1+$K$2)),0)+IF($L59&gt;0,MIN($V$3,$L59*(1+$L$2)),0)))),MIN($P$3,$F59*(1+F$2))))</f>
        <v/>
      </c>
      <c r="Q60" s="37">
        <f>IF($G59&lt;=0,0,IF($Y60=5,MIN($G59*(1+G$2),MAX(0,$B60-(IF($C59&gt;0,MIN($M$3,$C59*(1+$C$2)),0)+IF($D59&gt;0,MIN($N$3,$D59*(1+$D$2)),0)+IF($E59&gt;0,MIN($O$3,$E59*(1+$E$2)),0)+IF($F59&gt;0,MIN($P$3,$F59*(1+$F$2)),0)+IF($H59&gt;0,MIN($R$3,$H59*(1+$H$2)),0)+IF($I59&gt;0,MIN($S$3,$I59*(1+$I$2)),0)+IF($J59&gt;0,MIN($T$3,$J59*(1+$J$2)),0)+IF($K59&gt;0,MIN($U$3,$K59*(1+$K$2)),0)+IF($L59&gt;0,MIN($V$3,$L59*(1+$L$2)),0)))),MIN($Q$3,$G59*(1+G$2))))</f>
        <v/>
      </c>
      <c r="R60" s="37">
        <f>IF($H59&lt;=0,0,IF($Y60=6,MIN($H59*(1+H$2),MAX(0,$B60-(IF($C59&gt;0,MIN($M$3,$C59*(1+$C$2)),0)+IF($D59&gt;0,MIN($N$3,$D59*(1+$D$2)),0)+IF($E59&gt;0,MIN($O$3,$E59*(1+$E$2)),0)+IF($F59&gt;0,MIN($P$3,$F59*(1+$F$2)),0)+IF($G59&gt;0,MIN($Q$3,$G59*(1+$G$2)),0)+IF($I59&gt;0,MIN($S$3,$I59*(1+$I$2)),0)+IF($J59&gt;0,MIN($T$3,$J59*(1+$J$2)),0)+IF($K59&gt;0,MIN($U$3,$K59*(1+$K$2)),0)+IF($L59&gt;0,MIN($V$3,$L59*(1+$L$2)),0)))),MIN($R$3,$H59*(1+H$2))))</f>
        <v/>
      </c>
      <c r="S60" s="37">
        <f>IF($I59&lt;=0,0,IF($Y60=7,MIN($I59*(1+I$2),MAX(0,$B60-(IF($C59&gt;0,MIN($M$3,$C59*(1+$C$2)),0)+IF($D59&gt;0,MIN($N$3,$D59*(1+$D$2)),0)+IF($E59&gt;0,MIN($O$3,$E59*(1+$E$2)),0)+IF($F59&gt;0,MIN($P$3,$F59*(1+$F$2)),0)+IF($G59&gt;0,MIN($Q$3,$G59*(1+$G$2)),0)+IF($H59&gt;0,MIN($R$3,$H59*(1+$H$2)),0)+IF($J59&gt;0,MIN($T$3,$J59*(1+$J$2)),0)+IF($K59&gt;0,MIN($U$3,$K59*(1+$K$2)),0)+IF($L59&gt;0,MIN($V$3,$L59*(1+$L$2)),0)))),MIN($S$3,$I59*(1+I$2))))</f>
        <v/>
      </c>
      <c r="T60" s="37">
        <f>IF($J59&lt;=0,0,IF($Y60=8,MIN($J59*(1+J$2),MAX(0,$B60-(IF($C59&gt;0,MIN($M$3,$C59*(1+$C$2)),0)+IF($D59&gt;0,MIN($N$3,$D59*(1+$D$2)),0)+IF($E59&gt;0,MIN($O$3,$E59*(1+$E$2)),0)+IF($F59&gt;0,MIN($P$3,$F59*(1+$F$2)),0)+IF($G59&gt;0,MIN($Q$3,$G59*(1+$G$2)),0)+IF($H59&gt;0,MIN($R$3,$H59*(1+$H$2)),0)+IF($I59&gt;0,MIN($S$3,$I59*(1+$I$2)),0)+IF($K59&gt;0,MIN($U$3,$K59*(1+$K$2)),0)+IF($L59&gt;0,MIN($V$3,$L59*(1+$L$2)),0)))),MIN($T$3,$J59*(1+J$2))))</f>
        <v/>
      </c>
      <c r="U60" s="37">
        <f>IF($K59&lt;=0,0,IF($Y60=9,MIN($K59*(1+K$2),MAX(0,$B60-(IF($C59&gt;0,MIN($M$3,$C59*(1+$C$2)),0)+IF($D59&gt;0,MIN($N$3,$D59*(1+$D$2)),0)+IF($E59&gt;0,MIN($O$3,$E59*(1+$E$2)),0)+IF($F59&gt;0,MIN($P$3,$F59*(1+$F$2)),0)+IF($G59&gt;0,MIN($Q$3,$G59*(1+$G$2)),0)+IF($H59&gt;0,MIN($R$3,$H59*(1+$H$2)),0)+IF($I59&gt;0,MIN($S$3,$I59*(1+$I$2)),0)+IF($J59&gt;0,MIN($T$3,$J59*(1+$J$2)),0)+IF($L59&gt;0,MIN($V$3,$L59*(1+$L$2)),0)))),MIN($U$3,$K59*(1+K$2))))</f>
        <v/>
      </c>
      <c r="V60" s="37">
        <f>IF($L59&lt;=0,0,IF($Y60=10,MIN($L59*(1+L$2),MAX(0,$B60-(IF($C59&gt;0,MIN($M$3,$C59*(1+$C$2)),0)+IF($D59&gt;0,MIN($N$3,$D59*(1+$D$2)),0)+IF($E59&gt;0,MIN($O$3,$E59*(1+$E$2)),0)+IF($F59&gt;0,MIN($P$3,$F59*(1+$F$2)),0)+IF($G59&gt;0,MIN($Q$3,$G59*(1+$G$2)),0)+IF($H59&gt;0,MIN($R$3,$H59*(1+$H$2)),0)+IF($I59&gt;0,MIN($S$3,$I59*(1+$I$2)),0)+IF($J59&gt;0,MIN($T$3,$J59*(1+$J$2)),0)+IF($K59&gt;0,MIN($U$3,$K59*(1+$K$2)),0)))),MIN($V$3,$L59*(1+L$2))))</f>
        <v/>
      </c>
      <c r="W60" s="37">
        <f>ROUND(SUMPRODUCT($C59:$L59,$C$2:$L$2),2)</f>
        <v/>
      </c>
      <c r="X60" s="37">
        <f>SUM($C60:$L60)</f>
        <v/>
      </c>
      <c r="Y60" s="42">
        <f>IF($X59=0,"",MIN(IF($C59&gt;0,1,'My Debts'!$B$13+1),IF($D59&gt;0,2,'My Debts'!$B$13+1),IF($E59&gt;0,3,'My Debts'!$B$13+1),IF($F59&gt;0,4,'My Debts'!$B$13+1),IF($G59&gt;0,5,'My Debts'!$B$13+1),IF($H59&gt;0,6,'My Debts'!$B$13+1),IF($I59&gt;0,7,'My Debts'!$B$13+1),IF($J59&gt;0,8,'My Debts'!$B$13+1),IF($K59&gt;0,9,'My Debts'!$B$13+1),IF($L59&gt;0,10,'My Debts'!$B$13+1)))</f>
        <v/>
      </c>
    </row>
    <row r="61" ht="18" customHeight="1" s="44">
      <c r="A61" s="42" t="n">
        <v>56</v>
      </c>
      <c r="B61" s="37">
        <f>IF($X60&gt;0,'My Debts'!$B$8,0)</f>
        <v/>
      </c>
      <c r="C61" s="37">
        <f>ROUND(MAX(0,$C60*(1+C$2)-M61),2)</f>
        <v/>
      </c>
      <c r="D61" s="37">
        <f>ROUND(MAX(0,$D60*(1+D$2)-N61),2)</f>
        <v/>
      </c>
      <c r="E61" s="37">
        <f>ROUND(MAX(0,$E60*(1+E$2)-O61),2)</f>
        <v/>
      </c>
      <c r="F61" s="37">
        <f>ROUND(MAX(0,$F60*(1+F$2)-P61),2)</f>
        <v/>
      </c>
      <c r="G61" s="37">
        <f>ROUND(MAX(0,$G60*(1+G$2)-Q61),2)</f>
        <v/>
      </c>
      <c r="H61" s="37">
        <f>ROUND(MAX(0,$H60*(1+H$2)-R61),2)</f>
        <v/>
      </c>
      <c r="I61" s="37">
        <f>ROUND(MAX(0,$I60*(1+I$2)-S61),2)</f>
        <v/>
      </c>
      <c r="J61" s="37">
        <f>ROUND(MAX(0,$J60*(1+J$2)-T61),2)</f>
        <v/>
      </c>
      <c r="K61" s="37">
        <f>ROUND(MAX(0,$K60*(1+K$2)-U61),2)</f>
        <v/>
      </c>
      <c r="L61" s="37">
        <f>ROUND(MAX(0,$L60*(1+L$2)-V61),2)</f>
        <v/>
      </c>
      <c r="M61" s="37">
        <f>IF($C60&lt;=0,0,IF($Y61=1,MIN($C60*(1+C$2),MAX(0,$B61-(IF($D60&gt;0,MIN($N$3,$D60*(1+$D$2)),0)+IF($E60&gt;0,MIN($O$3,$E60*(1+$E$2)),0)+IF($F60&gt;0,MIN($P$3,$F60*(1+$F$2)),0)+IF($G60&gt;0,MIN($Q$3,$G60*(1+$G$2)),0)+IF($H60&gt;0,MIN($R$3,$H60*(1+$H$2)),0)+IF($I60&gt;0,MIN($S$3,$I60*(1+$I$2)),0)+IF($J60&gt;0,MIN($T$3,$J60*(1+$J$2)),0)+IF($K60&gt;0,MIN($U$3,$K60*(1+$K$2)),0)+IF($L60&gt;0,MIN($V$3,$L60*(1+$L$2)),0)))),MIN($M$3,$C60*(1+C$2))))</f>
        <v/>
      </c>
      <c r="N61" s="37">
        <f>IF($D60&lt;=0,0,IF($Y61=2,MIN($D60*(1+D$2),MAX(0,$B61-(IF($C60&gt;0,MIN($M$3,$C60*(1+$C$2)),0)+IF($E60&gt;0,MIN($O$3,$E60*(1+$E$2)),0)+IF($F60&gt;0,MIN($P$3,$F60*(1+$F$2)),0)+IF($G60&gt;0,MIN($Q$3,$G60*(1+$G$2)),0)+IF($H60&gt;0,MIN($R$3,$H60*(1+$H$2)),0)+IF($I60&gt;0,MIN($S$3,$I60*(1+$I$2)),0)+IF($J60&gt;0,MIN($T$3,$J60*(1+$J$2)),0)+IF($K60&gt;0,MIN($U$3,$K60*(1+$K$2)),0)+IF($L60&gt;0,MIN($V$3,$L60*(1+$L$2)),0)))),MIN($N$3,$D60*(1+D$2))))</f>
        <v/>
      </c>
      <c r="O61" s="37">
        <f>IF($E60&lt;=0,0,IF($Y61=3,MIN($E60*(1+E$2),MAX(0,$B61-(IF($C60&gt;0,MIN($M$3,$C60*(1+$C$2)),0)+IF($D60&gt;0,MIN($N$3,$D60*(1+$D$2)),0)+IF($F60&gt;0,MIN($P$3,$F60*(1+$F$2)),0)+IF($G60&gt;0,MIN($Q$3,$G60*(1+$G$2)),0)+IF($H60&gt;0,MIN($R$3,$H60*(1+$H$2)),0)+IF($I60&gt;0,MIN($S$3,$I60*(1+$I$2)),0)+IF($J60&gt;0,MIN($T$3,$J60*(1+$J$2)),0)+IF($K60&gt;0,MIN($U$3,$K60*(1+$K$2)),0)+IF($L60&gt;0,MIN($V$3,$L60*(1+$L$2)),0)))),MIN($O$3,$E60*(1+E$2))))</f>
        <v/>
      </c>
      <c r="P61" s="37">
        <f>IF($F60&lt;=0,0,IF($Y61=4,MIN($F60*(1+F$2),MAX(0,$B61-(IF($C60&gt;0,MIN($M$3,$C60*(1+$C$2)),0)+IF($D60&gt;0,MIN($N$3,$D60*(1+$D$2)),0)+IF($E60&gt;0,MIN($O$3,$E60*(1+$E$2)),0)+IF($G60&gt;0,MIN($Q$3,$G60*(1+$G$2)),0)+IF($H60&gt;0,MIN($R$3,$H60*(1+$H$2)),0)+IF($I60&gt;0,MIN($S$3,$I60*(1+$I$2)),0)+IF($J60&gt;0,MIN($T$3,$J60*(1+$J$2)),0)+IF($K60&gt;0,MIN($U$3,$K60*(1+$K$2)),0)+IF($L60&gt;0,MIN($V$3,$L60*(1+$L$2)),0)))),MIN($P$3,$F60*(1+F$2))))</f>
        <v/>
      </c>
      <c r="Q61" s="37">
        <f>IF($G60&lt;=0,0,IF($Y61=5,MIN($G60*(1+G$2),MAX(0,$B61-(IF($C60&gt;0,MIN($M$3,$C60*(1+$C$2)),0)+IF($D60&gt;0,MIN($N$3,$D60*(1+$D$2)),0)+IF($E60&gt;0,MIN($O$3,$E60*(1+$E$2)),0)+IF($F60&gt;0,MIN($P$3,$F60*(1+$F$2)),0)+IF($H60&gt;0,MIN($R$3,$H60*(1+$H$2)),0)+IF($I60&gt;0,MIN($S$3,$I60*(1+$I$2)),0)+IF($J60&gt;0,MIN($T$3,$J60*(1+$J$2)),0)+IF($K60&gt;0,MIN($U$3,$K60*(1+$K$2)),0)+IF($L60&gt;0,MIN($V$3,$L60*(1+$L$2)),0)))),MIN($Q$3,$G60*(1+G$2))))</f>
        <v/>
      </c>
      <c r="R61" s="37">
        <f>IF($H60&lt;=0,0,IF($Y61=6,MIN($H60*(1+H$2),MAX(0,$B61-(IF($C60&gt;0,MIN($M$3,$C60*(1+$C$2)),0)+IF($D60&gt;0,MIN($N$3,$D60*(1+$D$2)),0)+IF($E60&gt;0,MIN($O$3,$E60*(1+$E$2)),0)+IF($F60&gt;0,MIN($P$3,$F60*(1+$F$2)),0)+IF($G60&gt;0,MIN($Q$3,$G60*(1+$G$2)),0)+IF($I60&gt;0,MIN($S$3,$I60*(1+$I$2)),0)+IF($J60&gt;0,MIN($T$3,$J60*(1+$J$2)),0)+IF($K60&gt;0,MIN($U$3,$K60*(1+$K$2)),0)+IF($L60&gt;0,MIN($V$3,$L60*(1+$L$2)),0)))),MIN($R$3,$H60*(1+H$2))))</f>
        <v/>
      </c>
      <c r="S61" s="37">
        <f>IF($I60&lt;=0,0,IF($Y61=7,MIN($I60*(1+I$2),MAX(0,$B61-(IF($C60&gt;0,MIN($M$3,$C60*(1+$C$2)),0)+IF($D60&gt;0,MIN($N$3,$D60*(1+$D$2)),0)+IF($E60&gt;0,MIN($O$3,$E60*(1+$E$2)),0)+IF($F60&gt;0,MIN($P$3,$F60*(1+$F$2)),0)+IF($G60&gt;0,MIN($Q$3,$G60*(1+$G$2)),0)+IF($H60&gt;0,MIN($R$3,$H60*(1+$H$2)),0)+IF($J60&gt;0,MIN($T$3,$J60*(1+$J$2)),0)+IF($K60&gt;0,MIN($U$3,$K60*(1+$K$2)),0)+IF($L60&gt;0,MIN($V$3,$L60*(1+$L$2)),0)))),MIN($S$3,$I60*(1+I$2))))</f>
        <v/>
      </c>
      <c r="T61" s="37">
        <f>IF($J60&lt;=0,0,IF($Y61=8,MIN($J60*(1+J$2),MAX(0,$B61-(IF($C60&gt;0,MIN($M$3,$C60*(1+$C$2)),0)+IF($D60&gt;0,MIN($N$3,$D60*(1+$D$2)),0)+IF($E60&gt;0,MIN($O$3,$E60*(1+$E$2)),0)+IF($F60&gt;0,MIN($P$3,$F60*(1+$F$2)),0)+IF($G60&gt;0,MIN($Q$3,$G60*(1+$G$2)),0)+IF($H60&gt;0,MIN($R$3,$H60*(1+$H$2)),0)+IF($I60&gt;0,MIN($S$3,$I60*(1+$I$2)),0)+IF($K60&gt;0,MIN($U$3,$K60*(1+$K$2)),0)+IF($L60&gt;0,MIN($V$3,$L60*(1+$L$2)),0)))),MIN($T$3,$J60*(1+J$2))))</f>
        <v/>
      </c>
      <c r="U61" s="37">
        <f>IF($K60&lt;=0,0,IF($Y61=9,MIN($K60*(1+K$2),MAX(0,$B61-(IF($C60&gt;0,MIN($M$3,$C60*(1+$C$2)),0)+IF($D60&gt;0,MIN($N$3,$D60*(1+$D$2)),0)+IF($E60&gt;0,MIN($O$3,$E60*(1+$E$2)),0)+IF($F60&gt;0,MIN($P$3,$F60*(1+$F$2)),0)+IF($G60&gt;0,MIN($Q$3,$G60*(1+$G$2)),0)+IF($H60&gt;0,MIN($R$3,$H60*(1+$H$2)),0)+IF($I60&gt;0,MIN($S$3,$I60*(1+$I$2)),0)+IF($J60&gt;0,MIN($T$3,$J60*(1+$J$2)),0)+IF($L60&gt;0,MIN($V$3,$L60*(1+$L$2)),0)))),MIN($U$3,$K60*(1+K$2))))</f>
        <v/>
      </c>
      <c r="V61" s="37">
        <f>IF($L60&lt;=0,0,IF($Y61=10,MIN($L60*(1+L$2),MAX(0,$B61-(IF($C60&gt;0,MIN($M$3,$C60*(1+$C$2)),0)+IF($D60&gt;0,MIN($N$3,$D60*(1+$D$2)),0)+IF($E60&gt;0,MIN($O$3,$E60*(1+$E$2)),0)+IF($F60&gt;0,MIN($P$3,$F60*(1+$F$2)),0)+IF($G60&gt;0,MIN($Q$3,$G60*(1+$G$2)),0)+IF($H60&gt;0,MIN($R$3,$H60*(1+$H$2)),0)+IF($I60&gt;0,MIN($S$3,$I60*(1+$I$2)),0)+IF($J60&gt;0,MIN($T$3,$J60*(1+$J$2)),0)+IF($K60&gt;0,MIN($U$3,$K60*(1+$K$2)),0)))),MIN($V$3,$L60*(1+L$2))))</f>
        <v/>
      </c>
      <c r="W61" s="37">
        <f>ROUND(SUMPRODUCT($C60:$L60,$C$2:$L$2),2)</f>
        <v/>
      </c>
      <c r="X61" s="37">
        <f>SUM($C61:$L61)</f>
        <v/>
      </c>
      <c r="Y61" s="42">
        <f>IF($X60=0,"",MIN(IF($C60&gt;0,1,'My Debts'!$B$13+1),IF($D60&gt;0,2,'My Debts'!$B$13+1),IF($E60&gt;0,3,'My Debts'!$B$13+1),IF($F60&gt;0,4,'My Debts'!$B$13+1),IF($G60&gt;0,5,'My Debts'!$B$13+1),IF($H60&gt;0,6,'My Debts'!$B$13+1),IF($I60&gt;0,7,'My Debts'!$B$13+1),IF($J60&gt;0,8,'My Debts'!$B$13+1),IF($K60&gt;0,9,'My Debts'!$B$13+1),IF($L60&gt;0,10,'My Debts'!$B$13+1)))</f>
        <v/>
      </c>
    </row>
    <row r="62" ht="18" customHeight="1" s="44">
      <c r="A62" s="42" t="n">
        <v>57</v>
      </c>
      <c r="B62" s="37">
        <f>IF($X61&gt;0,'My Debts'!$B$8,0)</f>
        <v/>
      </c>
      <c r="C62" s="37">
        <f>ROUND(MAX(0,$C61*(1+C$2)-M62),2)</f>
        <v/>
      </c>
      <c r="D62" s="37">
        <f>ROUND(MAX(0,$D61*(1+D$2)-N62),2)</f>
        <v/>
      </c>
      <c r="E62" s="37">
        <f>ROUND(MAX(0,$E61*(1+E$2)-O62),2)</f>
        <v/>
      </c>
      <c r="F62" s="37">
        <f>ROUND(MAX(0,$F61*(1+F$2)-P62),2)</f>
        <v/>
      </c>
      <c r="G62" s="37">
        <f>ROUND(MAX(0,$G61*(1+G$2)-Q62),2)</f>
        <v/>
      </c>
      <c r="H62" s="37">
        <f>ROUND(MAX(0,$H61*(1+H$2)-R62),2)</f>
        <v/>
      </c>
      <c r="I62" s="37">
        <f>ROUND(MAX(0,$I61*(1+I$2)-S62),2)</f>
        <v/>
      </c>
      <c r="J62" s="37">
        <f>ROUND(MAX(0,$J61*(1+J$2)-T62),2)</f>
        <v/>
      </c>
      <c r="K62" s="37">
        <f>ROUND(MAX(0,$K61*(1+K$2)-U62),2)</f>
        <v/>
      </c>
      <c r="L62" s="37">
        <f>ROUND(MAX(0,$L61*(1+L$2)-V62),2)</f>
        <v/>
      </c>
      <c r="M62" s="37">
        <f>IF($C61&lt;=0,0,IF($Y62=1,MIN($C61*(1+C$2),MAX(0,$B62-(IF($D61&gt;0,MIN($N$3,$D61*(1+$D$2)),0)+IF($E61&gt;0,MIN($O$3,$E61*(1+$E$2)),0)+IF($F61&gt;0,MIN($P$3,$F61*(1+$F$2)),0)+IF($G61&gt;0,MIN($Q$3,$G61*(1+$G$2)),0)+IF($H61&gt;0,MIN($R$3,$H61*(1+$H$2)),0)+IF($I61&gt;0,MIN($S$3,$I61*(1+$I$2)),0)+IF($J61&gt;0,MIN($T$3,$J61*(1+$J$2)),0)+IF($K61&gt;0,MIN($U$3,$K61*(1+$K$2)),0)+IF($L61&gt;0,MIN($V$3,$L61*(1+$L$2)),0)))),MIN($M$3,$C61*(1+C$2))))</f>
        <v/>
      </c>
      <c r="N62" s="37">
        <f>IF($D61&lt;=0,0,IF($Y62=2,MIN($D61*(1+D$2),MAX(0,$B62-(IF($C61&gt;0,MIN($M$3,$C61*(1+$C$2)),0)+IF($E61&gt;0,MIN($O$3,$E61*(1+$E$2)),0)+IF($F61&gt;0,MIN($P$3,$F61*(1+$F$2)),0)+IF($G61&gt;0,MIN($Q$3,$G61*(1+$G$2)),0)+IF($H61&gt;0,MIN($R$3,$H61*(1+$H$2)),0)+IF($I61&gt;0,MIN($S$3,$I61*(1+$I$2)),0)+IF($J61&gt;0,MIN($T$3,$J61*(1+$J$2)),0)+IF($K61&gt;0,MIN($U$3,$K61*(1+$K$2)),0)+IF($L61&gt;0,MIN($V$3,$L61*(1+$L$2)),0)))),MIN($N$3,$D61*(1+D$2))))</f>
        <v/>
      </c>
      <c r="O62" s="37">
        <f>IF($E61&lt;=0,0,IF($Y62=3,MIN($E61*(1+E$2),MAX(0,$B62-(IF($C61&gt;0,MIN($M$3,$C61*(1+$C$2)),0)+IF($D61&gt;0,MIN($N$3,$D61*(1+$D$2)),0)+IF($F61&gt;0,MIN($P$3,$F61*(1+$F$2)),0)+IF($G61&gt;0,MIN($Q$3,$G61*(1+$G$2)),0)+IF($H61&gt;0,MIN($R$3,$H61*(1+$H$2)),0)+IF($I61&gt;0,MIN($S$3,$I61*(1+$I$2)),0)+IF($J61&gt;0,MIN($T$3,$J61*(1+$J$2)),0)+IF($K61&gt;0,MIN($U$3,$K61*(1+$K$2)),0)+IF($L61&gt;0,MIN($V$3,$L61*(1+$L$2)),0)))),MIN($O$3,$E61*(1+E$2))))</f>
        <v/>
      </c>
      <c r="P62" s="37">
        <f>IF($F61&lt;=0,0,IF($Y62=4,MIN($F61*(1+F$2),MAX(0,$B62-(IF($C61&gt;0,MIN($M$3,$C61*(1+$C$2)),0)+IF($D61&gt;0,MIN($N$3,$D61*(1+$D$2)),0)+IF($E61&gt;0,MIN($O$3,$E61*(1+$E$2)),0)+IF($G61&gt;0,MIN($Q$3,$G61*(1+$G$2)),0)+IF($H61&gt;0,MIN($R$3,$H61*(1+$H$2)),0)+IF($I61&gt;0,MIN($S$3,$I61*(1+$I$2)),0)+IF($J61&gt;0,MIN($T$3,$J61*(1+$J$2)),0)+IF($K61&gt;0,MIN($U$3,$K61*(1+$K$2)),0)+IF($L61&gt;0,MIN($V$3,$L61*(1+$L$2)),0)))),MIN($P$3,$F61*(1+F$2))))</f>
        <v/>
      </c>
      <c r="Q62" s="37">
        <f>IF($G61&lt;=0,0,IF($Y62=5,MIN($G61*(1+G$2),MAX(0,$B62-(IF($C61&gt;0,MIN($M$3,$C61*(1+$C$2)),0)+IF($D61&gt;0,MIN($N$3,$D61*(1+$D$2)),0)+IF($E61&gt;0,MIN($O$3,$E61*(1+$E$2)),0)+IF($F61&gt;0,MIN($P$3,$F61*(1+$F$2)),0)+IF($H61&gt;0,MIN($R$3,$H61*(1+$H$2)),0)+IF($I61&gt;0,MIN($S$3,$I61*(1+$I$2)),0)+IF($J61&gt;0,MIN($T$3,$J61*(1+$J$2)),0)+IF($K61&gt;0,MIN($U$3,$K61*(1+$K$2)),0)+IF($L61&gt;0,MIN($V$3,$L61*(1+$L$2)),0)))),MIN($Q$3,$G61*(1+G$2))))</f>
        <v/>
      </c>
      <c r="R62" s="37">
        <f>IF($H61&lt;=0,0,IF($Y62=6,MIN($H61*(1+H$2),MAX(0,$B62-(IF($C61&gt;0,MIN($M$3,$C61*(1+$C$2)),0)+IF($D61&gt;0,MIN($N$3,$D61*(1+$D$2)),0)+IF($E61&gt;0,MIN($O$3,$E61*(1+$E$2)),0)+IF($F61&gt;0,MIN($P$3,$F61*(1+$F$2)),0)+IF($G61&gt;0,MIN($Q$3,$G61*(1+$G$2)),0)+IF($I61&gt;0,MIN($S$3,$I61*(1+$I$2)),0)+IF($J61&gt;0,MIN($T$3,$J61*(1+$J$2)),0)+IF($K61&gt;0,MIN($U$3,$K61*(1+$K$2)),0)+IF($L61&gt;0,MIN($V$3,$L61*(1+$L$2)),0)))),MIN($R$3,$H61*(1+H$2))))</f>
        <v/>
      </c>
      <c r="S62" s="37">
        <f>IF($I61&lt;=0,0,IF($Y62=7,MIN($I61*(1+I$2),MAX(0,$B62-(IF($C61&gt;0,MIN($M$3,$C61*(1+$C$2)),0)+IF($D61&gt;0,MIN($N$3,$D61*(1+$D$2)),0)+IF($E61&gt;0,MIN($O$3,$E61*(1+$E$2)),0)+IF($F61&gt;0,MIN($P$3,$F61*(1+$F$2)),0)+IF($G61&gt;0,MIN($Q$3,$G61*(1+$G$2)),0)+IF($H61&gt;0,MIN($R$3,$H61*(1+$H$2)),0)+IF($J61&gt;0,MIN($T$3,$J61*(1+$J$2)),0)+IF($K61&gt;0,MIN($U$3,$K61*(1+$K$2)),0)+IF($L61&gt;0,MIN($V$3,$L61*(1+$L$2)),0)))),MIN($S$3,$I61*(1+I$2))))</f>
        <v/>
      </c>
      <c r="T62" s="37">
        <f>IF($J61&lt;=0,0,IF($Y62=8,MIN($J61*(1+J$2),MAX(0,$B62-(IF($C61&gt;0,MIN($M$3,$C61*(1+$C$2)),0)+IF($D61&gt;0,MIN($N$3,$D61*(1+$D$2)),0)+IF($E61&gt;0,MIN($O$3,$E61*(1+$E$2)),0)+IF($F61&gt;0,MIN($P$3,$F61*(1+$F$2)),0)+IF($G61&gt;0,MIN($Q$3,$G61*(1+$G$2)),0)+IF($H61&gt;0,MIN($R$3,$H61*(1+$H$2)),0)+IF($I61&gt;0,MIN($S$3,$I61*(1+$I$2)),0)+IF($K61&gt;0,MIN($U$3,$K61*(1+$K$2)),0)+IF($L61&gt;0,MIN($V$3,$L61*(1+$L$2)),0)))),MIN($T$3,$J61*(1+J$2))))</f>
        <v/>
      </c>
      <c r="U62" s="37">
        <f>IF($K61&lt;=0,0,IF($Y62=9,MIN($K61*(1+K$2),MAX(0,$B62-(IF($C61&gt;0,MIN($M$3,$C61*(1+$C$2)),0)+IF($D61&gt;0,MIN($N$3,$D61*(1+$D$2)),0)+IF($E61&gt;0,MIN($O$3,$E61*(1+$E$2)),0)+IF($F61&gt;0,MIN($P$3,$F61*(1+$F$2)),0)+IF($G61&gt;0,MIN($Q$3,$G61*(1+$G$2)),0)+IF($H61&gt;0,MIN($R$3,$H61*(1+$H$2)),0)+IF($I61&gt;0,MIN($S$3,$I61*(1+$I$2)),0)+IF($J61&gt;0,MIN($T$3,$J61*(1+$J$2)),0)+IF($L61&gt;0,MIN($V$3,$L61*(1+$L$2)),0)))),MIN($U$3,$K61*(1+K$2))))</f>
        <v/>
      </c>
      <c r="V62" s="37">
        <f>IF($L61&lt;=0,0,IF($Y62=10,MIN($L61*(1+L$2),MAX(0,$B62-(IF($C61&gt;0,MIN($M$3,$C61*(1+$C$2)),0)+IF($D61&gt;0,MIN($N$3,$D61*(1+$D$2)),0)+IF($E61&gt;0,MIN($O$3,$E61*(1+$E$2)),0)+IF($F61&gt;0,MIN($P$3,$F61*(1+$F$2)),0)+IF($G61&gt;0,MIN($Q$3,$G61*(1+$G$2)),0)+IF($H61&gt;0,MIN($R$3,$H61*(1+$H$2)),0)+IF($I61&gt;0,MIN($S$3,$I61*(1+$I$2)),0)+IF($J61&gt;0,MIN($T$3,$J61*(1+$J$2)),0)+IF($K61&gt;0,MIN($U$3,$K61*(1+$K$2)),0)))),MIN($V$3,$L61*(1+L$2))))</f>
        <v/>
      </c>
      <c r="W62" s="37">
        <f>ROUND(SUMPRODUCT($C61:$L61,$C$2:$L$2),2)</f>
        <v/>
      </c>
      <c r="X62" s="37">
        <f>SUM($C62:$L62)</f>
        <v/>
      </c>
      <c r="Y62" s="42">
        <f>IF($X61=0,"",MIN(IF($C61&gt;0,1,'My Debts'!$B$13+1),IF($D61&gt;0,2,'My Debts'!$B$13+1),IF($E61&gt;0,3,'My Debts'!$B$13+1),IF($F61&gt;0,4,'My Debts'!$B$13+1),IF($G61&gt;0,5,'My Debts'!$B$13+1),IF($H61&gt;0,6,'My Debts'!$B$13+1),IF($I61&gt;0,7,'My Debts'!$B$13+1),IF($J61&gt;0,8,'My Debts'!$B$13+1),IF($K61&gt;0,9,'My Debts'!$B$13+1),IF($L61&gt;0,10,'My Debts'!$B$13+1)))</f>
        <v/>
      </c>
    </row>
    <row r="63" ht="18" customHeight="1" s="44">
      <c r="A63" s="42" t="n">
        <v>58</v>
      </c>
      <c r="B63" s="37">
        <f>IF($X62&gt;0,'My Debts'!$B$8,0)</f>
        <v/>
      </c>
      <c r="C63" s="37">
        <f>ROUND(MAX(0,$C62*(1+C$2)-M63),2)</f>
        <v/>
      </c>
      <c r="D63" s="37">
        <f>ROUND(MAX(0,$D62*(1+D$2)-N63),2)</f>
        <v/>
      </c>
      <c r="E63" s="37">
        <f>ROUND(MAX(0,$E62*(1+E$2)-O63),2)</f>
        <v/>
      </c>
      <c r="F63" s="37">
        <f>ROUND(MAX(0,$F62*(1+F$2)-P63),2)</f>
        <v/>
      </c>
      <c r="G63" s="37">
        <f>ROUND(MAX(0,$G62*(1+G$2)-Q63),2)</f>
        <v/>
      </c>
      <c r="H63" s="37">
        <f>ROUND(MAX(0,$H62*(1+H$2)-R63),2)</f>
        <v/>
      </c>
      <c r="I63" s="37">
        <f>ROUND(MAX(0,$I62*(1+I$2)-S63),2)</f>
        <v/>
      </c>
      <c r="J63" s="37">
        <f>ROUND(MAX(0,$J62*(1+J$2)-T63),2)</f>
        <v/>
      </c>
      <c r="K63" s="37">
        <f>ROUND(MAX(0,$K62*(1+K$2)-U63),2)</f>
        <v/>
      </c>
      <c r="L63" s="37">
        <f>ROUND(MAX(0,$L62*(1+L$2)-V63),2)</f>
        <v/>
      </c>
      <c r="M63" s="37">
        <f>IF($C62&lt;=0,0,IF($Y63=1,MIN($C62*(1+C$2),MAX(0,$B63-(IF($D62&gt;0,MIN($N$3,$D62*(1+$D$2)),0)+IF($E62&gt;0,MIN($O$3,$E62*(1+$E$2)),0)+IF($F62&gt;0,MIN($P$3,$F62*(1+$F$2)),0)+IF($G62&gt;0,MIN($Q$3,$G62*(1+$G$2)),0)+IF($H62&gt;0,MIN($R$3,$H62*(1+$H$2)),0)+IF($I62&gt;0,MIN($S$3,$I62*(1+$I$2)),0)+IF($J62&gt;0,MIN($T$3,$J62*(1+$J$2)),0)+IF($K62&gt;0,MIN($U$3,$K62*(1+$K$2)),0)+IF($L62&gt;0,MIN($V$3,$L62*(1+$L$2)),0)))),MIN($M$3,$C62*(1+C$2))))</f>
        <v/>
      </c>
      <c r="N63" s="37">
        <f>IF($D62&lt;=0,0,IF($Y63=2,MIN($D62*(1+D$2),MAX(0,$B63-(IF($C62&gt;0,MIN($M$3,$C62*(1+$C$2)),0)+IF($E62&gt;0,MIN($O$3,$E62*(1+$E$2)),0)+IF($F62&gt;0,MIN($P$3,$F62*(1+$F$2)),0)+IF($G62&gt;0,MIN($Q$3,$G62*(1+$G$2)),0)+IF($H62&gt;0,MIN($R$3,$H62*(1+$H$2)),0)+IF($I62&gt;0,MIN($S$3,$I62*(1+$I$2)),0)+IF($J62&gt;0,MIN($T$3,$J62*(1+$J$2)),0)+IF($K62&gt;0,MIN($U$3,$K62*(1+$K$2)),0)+IF($L62&gt;0,MIN($V$3,$L62*(1+$L$2)),0)))),MIN($N$3,$D62*(1+D$2))))</f>
        <v/>
      </c>
      <c r="O63" s="37">
        <f>IF($E62&lt;=0,0,IF($Y63=3,MIN($E62*(1+E$2),MAX(0,$B63-(IF($C62&gt;0,MIN($M$3,$C62*(1+$C$2)),0)+IF($D62&gt;0,MIN($N$3,$D62*(1+$D$2)),0)+IF($F62&gt;0,MIN($P$3,$F62*(1+$F$2)),0)+IF($G62&gt;0,MIN($Q$3,$G62*(1+$G$2)),0)+IF($H62&gt;0,MIN($R$3,$H62*(1+$H$2)),0)+IF($I62&gt;0,MIN($S$3,$I62*(1+$I$2)),0)+IF($J62&gt;0,MIN($T$3,$J62*(1+$J$2)),0)+IF($K62&gt;0,MIN($U$3,$K62*(1+$K$2)),0)+IF($L62&gt;0,MIN($V$3,$L62*(1+$L$2)),0)))),MIN($O$3,$E62*(1+E$2))))</f>
        <v/>
      </c>
      <c r="P63" s="37">
        <f>IF($F62&lt;=0,0,IF($Y63=4,MIN($F62*(1+F$2),MAX(0,$B63-(IF($C62&gt;0,MIN($M$3,$C62*(1+$C$2)),0)+IF($D62&gt;0,MIN($N$3,$D62*(1+$D$2)),0)+IF($E62&gt;0,MIN($O$3,$E62*(1+$E$2)),0)+IF($G62&gt;0,MIN($Q$3,$G62*(1+$G$2)),0)+IF($H62&gt;0,MIN($R$3,$H62*(1+$H$2)),0)+IF($I62&gt;0,MIN($S$3,$I62*(1+$I$2)),0)+IF($J62&gt;0,MIN($T$3,$J62*(1+$J$2)),0)+IF($K62&gt;0,MIN($U$3,$K62*(1+$K$2)),0)+IF($L62&gt;0,MIN($V$3,$L62*(1+$L$2)),0)))),MIN($P$3,$F62*(1+F$2))))</f>
        <v/>
      </c>
      <c r="Q63" s="37">
        <f>IF($G62&lt;=0,0,IF($Y63=5,MIN($G62*(1+G$2),MAX(0,$B63-(IF($C62&gt;0,MIN($M$3,$C62*(1+$C$2)),0)+IF($D62&gt;0,MIN($N$3,$D62*(1+$D$2)),0)+IF($E62&gt;0,MIN($O$3,$E62*(1+$E$2)),0)+IF($F62&gt;0,MIN($P$3,$F62*(1+$F$2)),0)+IF($H62&gt;0,MIN($R$3,$H62*(1+$H$2)),0)+IF($I62&gt;0,MIN($S$3,$I62*(1+$I$2)),0)+IF($J62&gt;0,MIN($T$3,$J62*(1+$J$2)),0)+IF($K62&gt;0,MIN($U$3,$K62*(1+$K$2)),0)+IF($L62&gt;0,MIN($V$3,$L62*(1+$L$2)),0)))),MIN($Q$3,$G62*(1+G$2))))</f>
        <v/>
      </c>
      <c r="R63" s="37">
        <f>IF($H62&lt;=0,0,IF($Y63=6,MIN($H62*(1+H$2),MAX(0,$B63-(IF($C62&gt;0,MIN($M$3,$C62*(1+$C$2)),0)+IF($D62&gt;0,MIN($N$3,$D62*(1+$D$2)),0)+IF($E62&gt;0,MIN($O$3,$E62*(1+$E$2)),0)+IF($F62&gt;0,MIN($P$3,$F62*(1+$F$2)),0)+IF($G62&gt;0,MIN($Q$3,$G62*(1+$G$2)),0)+IF($I62&gt;0,MIN($S$3,$I62*(1+$I$2)),0)+IF($J62&gt;0,MIN($T$3,$J62*(1+$J$2)),0)+IF($K62&gt;0,MIN($U$3,$K62*(1+$K$2)),0)+IF($L62&gt;0,MIN($V$3,$L62*(1+$L$2)),0)))),MIN($R$3,$H62*(1+H$2))))</f>
        <v/>
      </c>
      <c r="S63" s="37">
        <f>IF($I62&lt;=0,0,IF($Y63=7,MIN($I62*(1+I$2),MAX(0,$B63-(IF($C62&gt;0,MIN($M$3,$C62*(1+$C$2)),0)+IF($D62&gt;0,MIN($N$3,$D62*(1+$D$2)),0)+IF($E62&gt;0,MIN($O$3,$E62*(1+$E$2)),0)+IF($F62&gt;0,MIN($P$3,$F62*(1+$F$2)),0)+IF($G62&gt;0,MIN($Q$3,$G62*(1+$G$2)),0)+IF($H62&gt;0,MIN($R$3,$H62*(1+$H$2)),0)+IF($J62&gt;0,MIN($T$3,$J62*(1+$J$2)),0)+IF($K62&gt;0,MIN($U$3,$K62*(1+$K$2)),0)+IF($L62&gt;0,MIN($V$3,$L62*(1+$L$2)),0)))),MIN($S$3,$I62*(1+I$2))))</f>
        <v/>
      </c>
      <c r="T63" s="37">
        <f>IF($J62&lt;=0,0,IF($Y63=8,MIN($J62*(1+J$2),MAX(0,$B63-(IF($C62&gt;0,MIN($M$3,$C62*(1+$C$2)),0)+IF($D62&gt;0,MIN($N$3,$D62*(1+$D$2)),0)+IF($E62&gt;0,MIN($O$3,$E62*(1+$E$2)),0)+IF($F62&gt;0,MIN($P$3,$F62*(1+$F$2)),0)+IF($G62&gt;0,MIN($Q$3,$G62*(1+$G$2)),0)+IF($H62&gt;0,MIN($R$3,$H62*(1+$H$2)),0)+IF($I62&gt;0,MIN($S$3,$I62*(1+$I$2)),0)+IF($K62&gt;0,MIN($U$3,$K62*(1+$K$2)),0)+IF($L62&gt;0,MIN($V$3,$L62*(1+$L$2)),0)))),MIN($T$3,$J62*(1+J$2))))</f>
        <v/>
      </c>
      <c r="U63" s="37">
        <f>IF($K62&lt;=0,0,IF($Y63=9,MIN($K62*(1+K$2),MAX(0,$B63-(IF($C62&gt;0,MIN($M$3,$C62*(1+$C$2)),0)+IF($D62&gt;0,MIN($N$3,$D62*(1+$D$2)),0)+IF($E62&gt;0,MIN($O$3,$E62*(1+$E$2)),0)+IF($F62&gt;0,MIN($P$3,$F62*(1+$F$2)),0)+IF($G62&gt;0,MIN($Q$3,$G62*(1+$G$2)),0)+IF($H62&gt;0,MIN($R$3,$H62*(1+$H$2)),0)+IF($I62&gt;0,MIN($S$3,$I62*(1+$I$2)),0)+IF($J62&gt;0,MIN($T$3,$J62*(1+$J$2)),0)+IF($L62&gt;0,MIN($V$3,$L62*(1+$L$2)),0)))),MIN($U$3,$K62*(1+K$2))))</f>
        <v/>
      </c>
      <c r="V63" s="37">
        <f>IF($L62&lt;=0,0,IF($Y63=10,MIN($L62*(1+L$2),MAX(0,$B63-(IF($C62&gt;0,MIN($M$3,$C62*(1+$C$2)),0)+IF($D62&gt;0,MIN($N$3,$D62*(1+$D$2)),0)+IF($E62&gt;0,MIN($O$3,$E62*(1+$E$2)),0)+IF($F62&gt;0,MIN($P$3,$F62*(1+$F$2)),0)+IF($G62&gt;0,MIN($Q$3,$G62*(1+$G$2)),0)+IF($H62&gt;0,MIN($R$3,$H62*(1+$H$2)),0)+IF($I62&gt;0,MIN($S$3,$I62*(1+$I$2)),0)+IF($J62&gt;0,MIN($T$3,$J62*(1+$J$2)),0)+IF($K62&gt;0,MIN($U$3,$K62*(1+$K$2)),0)))),MIN($V$3,$L62*(1+L$2))))</f>
        <v/>
      </c>
      <c r="W63" s="37">
        <f>ROUND(SUMPRODUCT($C62:$L62,$C$2:$L$2),2)</f>
        <v/>
      </c>
      <c r="X63" s="37">
        <f>SUM($C63:$L63)</f>
        <v/>
      </c>
      <c r="Y63" s="42">
        <f>IF($X62=0,"",MIN(IF($C62&gt;0,1,'My Debts'!$B$13+1),IF($D62&gt;0,2,'My Debts'!$B$13+1),IF($E62&gt;0,3,'My Debts'!$B$13+1),IF($F62&gt;0,4,'My Debts'!$B$13+1),IF($G62&gt;0,5,'My Debts'!$B$13+1),IF($H62&gt;0,6,'My Debts'!$B$13+1),IF($I62&gt;0,7,'My Debts'!$B$13+1),IF($J62&gt;0,8,'My Debts'!$B$13+1),IF($K62&gt;0,9,'My Debts'!$B$13+1),IF($L62&gt;0,10,'My Debts'!$B$13+1)))</f>
        <v/>
      </c>
    </row>
    <row r="64" ht="18" customHeight="1" s="44">
      <c r="A64" s="42" t="n">
        <v>59</v>
      </c>
      <c r="B64" s="37">
        <f>IF($X63&gt;0,'My Debts'!$B$8,0)</f>
        <v/>
      </c>
      <c r="C64" s="37">
        <f>ROUND(MAX(0,$C63*(1+C$2)-M64),2)</f>
        <v/>
      </c>
      <c r="D64" s="37">
        <f>ROUND(MAX(0,$D63*(1+D$2)-N64),2)</f>
        <v/>
      </c>
      <c r="E64" s="37">
        <f>ROUND(MAX(0,$E63*(1+E$2)-O64),2)</f>
        <v/>
      </c>
      <c r="F64" s="37">
        <f>ROUND(MAX(0,$F63*(1+F$2)-P64),2)</f>
        <v/>
      </c>
      <c r="G64" s="37">
        <f>ROUND(MAX(0,$G63*(1+G$2)-Q64),2)</f>
        <v/>
      </c>
      <c r="H64" s="37">
        <f>ROUND(MAX(0,$H63*(1+H$2)-R64),2)</f>
        <v/>
      </c>
      <c r="I64" s="37">
        <f>ROUND(MAX(0,$I63*(1+I$2)-S64),2)</f>
        <v/>
      </c>
      <c r="J64" s="37">
        <f>ROUND(MAX(0,$J63*(1+J$2)-T64),2)</f>
        <v/>
      </c>
      <c r="K64" s="37">
        <f>ROUND(MAX(0,$K63*(1+K$2)-U64),2)</f>
        <v/>
      </c>
      <c r="L64" s="37">
        <f>ROUND(MAX(0,$L63*(1+L$2)-V64),2)</f>
        <v/>
      </c>
      <c r="M64" s="37">
        <f>IF($C63&lt;=0,0,IF($Y64=1,MIN($C63*(1+C$2),MAX(0,$B64-(IF($D63&gt;0,MIN($N$3,$D63*(1+$D$2)),0)+IF($E63&gt;0,MIN($O$3,$E63*(1+$E$2)),0)+IF($F63&gt;0,MIN($P$3,$F63*(1+$F$2)),0)+IF($G63&gt;0,MIN($Q$3,$G63*(1+$G$2)),0)+IF($H63&gt;0,MIN($R$3,$H63*(1+$H$2)),0)+IF($I63&gt;0,MIN($S$3,$I63*(1+$I$2)),0)+IF($J63&gt;0,MIN($T$3,$J63*(1+$J$2)),0)+IF($K63&gt;0,MIN($U$3,$K63*(1+$K$2)),0)+IF($L63&gt;0,MIN($V$3,$L63*(1+$L$2)),0)))),MIN($M$3,$C63*(1+C$2))))</f>
        <v/>
      </c>
      <c r="N64" s="37">
        <f>IF($D63&lt;=0,0,IF($Y64=2,MIN($D63*(1+D$2),MAX(0,$B64-(IF($C63&gt;0,MIN($M$3,$C63*(1+$C$2)),0)+IF($E63&gt;0,MIN($O$3,$E63*(1+$E$2)),0)+IF($F63&gt;0,MIN($P$3,$F63*(1+$F$2)),0)+IF($G63&gt;0,MIN($Q$3,$G63*(1+$G$2)),0)+IF($H63&gt;0,MIN($R$3,$H63*(1+$H$2)),0)+IF($I63&gt;0,MIN($S$3,$I63*(1+$I$2)),0)+IF($J63&gt;0,MIN($T$3,$J63*(1+$J$2)),0)+IF($K63&gt;0,MIN($U$3,$K63*(1+$K$2)),0)+IF($L63&gt;0,MIN($V$3,$L63*(1+$L$2)),0)))),MIN($N$3,$D63*(1+D$2))))</f>
        <v/>
      </c>
      <c r="O64" s="37">
        <f>IF($E63&lt;=0,0,IF($Y64=3,MIN($E63*(1+E$2),MAX(0,$B64-(IF($C63&gt;0,MIN($M$3,$C63*(1+$C$2)),0)+IF($D63&gt;0,MIN($N$3,$D63*(1+$D$2)),0)+IF($F63&gt;0,MIN($P$3,$F63*(1+$F$2)),0)+IF($G63&gt;0,MIN($Q$3,$G63*(1+$G$2)),0)+IF($H63&gt;0,MIN($R$3,$H63*(1+$H$2)),0)+IF($I63&gt;0,MIN($S$3,$I63*(1+$I$2)),0)+IF($J63&gt;0,MIN($T$3,$J63*(1+$J$2)),0)+IF($K63&gt;0,MIN($U$3,$K63*(1+$K$2)),0)+IF($L63&gt;0,MIN($V$3,$L63*(1+$L$2)),0)))),MIN($O$3,$E63*(1+E$2))))</f>
        <v/>
      </c>
      <c r="P64" s="37">
        <f>IF($F63&lt;=0,0,IF($Y64=4,MIN($F63*(1+F$2),MAX(0,$B64-(IF($C63&gt;0,MIN($M$3,$C63*(1+$C$2)),0)+IF($D63&gt;0,MIN($N$3,$D63*(1+$D$2)),0)+IF($E63&gt;0,MIN($O$3,$E63*(1+$E$2)),0)+IF($G63&gt;0,MIN($Q$3,$G63*(1+$G$2)),0)+IF($H63&gt;0,MIN($R$3,$H63*(1+$H$2)),0)+IF($I63&gt;0,MIN($S$3,$I63*(1+$I$2)),0)+IF($J63&gt;0,MIN($T$3,$J63*(1+$J$2)),0)+IF($K63&gt;0,MIN($U$3,$K63*(1+$K$2)),0)+IF($L63&gt;0,MIN($V$3,$L63*(1+$L$2)),0)))),MIN($P$3,$F63*(1+F$2))))</f>
        <v/>
      </c>
      <c r="Q64" s="37">
        <f>IF($G63&lt;=0,0,IF($Y64=5,MIN($G63*(1+G$2),MAX(0,$B64-(IF($C63&gt;0,MIN($M$3,$C63*(1+$C$2)),0)+IF($D63&gt;0,MIN($N$3,$D63*(1+$D$2)),0)+IF($E63&gt;0,MIN($O$3,$E63*(1+$E$2)),0)+IF($F63&gt;0,MIN($P$3,$F63*(1+$F$2)),0)+IF($H63&gt;0,MIN($R$3,$H63*(1+$H$2)),0)+IF($I63&gt;0,MIN($S$3,$I63*(1+$I$2)),0)+IF($J63&gt;0,MIN($T$3,$J63*(1+$J$2)),0)+IF($K63&gt;0,MIN($U$3,$K63*(1+$K$2)),0)+IF($L63&gt;0,MIN($V$3,$L63*(1+$L$2)),0)))),MIN($Q$3,$G63*(1+G$2))))</f>
        <v/>
      </c>
      <c r="R64" s="37">
        <f>IF($H63&lt;=0,0,IF($Y64=6,MIN($H63*(1+H$2),MAX(0,$B64-(IF($C63&gt;0,MIN($M$3,$C63*(1+$C$2)),0)+IF($D63&gt;0,MIN($N$3,$D63*(1+$D$2)),0)+IF($E63&gt;0,MIN($O$3,$E63*(1+$E$2)),0)+IF($F63&gt;0,MIN($P$3,$F63*(1+$F$2)),0)+IF($G63&gt;0,MIN($Q$3,$G63*(1+$G$2)),0)+IF($I63&gt;0,MIN($S$3,$I63*(1+$I$2)),0)+IF($J63&gt;0,MIN($T$3,$J63*(1+$J$2)),0)+IF($K63&gt;0,MIN($U$3,$K63*(1+$K$2)),0)+IF($L63&gt;0,MIN($V$3,$L63*(1+$L$2)),0)))),MIN($R$3,$H63*(1+H$2))))</f>
        <v/>
      </c>
      <c r="S64" s="37">
        <f>IF($I63&lt;=0,0,IF($Y64=7,MIN($I63*(1+I$2),MAX(0,$B64-(IF($C63&gt;0,MIN($M$3,$C63*(1+$C$2)),0)+IF($D63&gt;0,MIN($N$3,$D63*(1+$D$2)),0)+IF($E63&gt;0,MIN($O$3,$E63*(1+$E$2)),0)+IF($F63&gt;0,MIN($P$3,$F63*(1+$F$2)),0)+IF($G63&gt;0,MIN($Q$3,$G63*(1+$G$2)),0)+IF($H63&gt;0,MIN($R$3,$H63*(1+$H$2)),0)+IF($J63&gt;0,MIN($T$3,$J63*(1+$J$2)),0)+IF($K63&gt;0,MIN($U$3,$K63*(1+$K$2)),0)+IF($L63&gt;0,MIN($V$3,$L63*(1+$L$2)),0)))),MIN($S$3,$I63*(1+I$2))))</f>
        <v/>
      </c>
      <c r="T64" s="37">
        <f>IF($J63&lt;=0,0,IF($Y64=8,MIN($J63*(1+J$2),MAX(0,$B64-(IF($C63&gt;0,MIN($M$3,$C63*(1+$C$2)),0)+IF($D63&gt;0,MIN($N$3,$D63*(1+$D$2)),0)+IF($E63&gt;0,MIN($O$3,$E63*(1+$E$2)),0)+IF($F63&gt;0,MIN($P$3,$F63*(1+$F$2)),0)+IF($G63&gt;0,MIN($Q$3,$G63*(1+$G$2)),0)+IF($H63&gt;0,MIN($R$3,$H63*(1+$H$2)),0)+IF($I63&gt;0,MIN($S$3,$I63*(1+$I$2)),0)+IF($K63&gt;0,MIN($U$3,$K63*(1+$K$2)),0)+IF($L63&gt;0,MIN($V$3,$L63*(1+$L$2)),0)))),MIN($T$3,$J63*(1+J$2))))</f>
        <v/>
      </c>
      <c r="U64" s="37">
        <f>IF($K63&lt;=0,0,IF($Y64=9,MIN($K63*(1+K$2),MAX(0,$B64-(IF($C63&gt;0,MIN($M$3,$C63*(1+$C$2)),0)+IF($D63&gt;0,MIN($N$3,$D63*(1+$D$2)),0)+IF($E63&gt;0,MIN($O$3,$E63*(1+$E$2)),0)+IF($F63&gt;0,MIN($P$3,$F63*(1+$F$2)),0)+IF($G63&gt;0,MIN($Q$3,$G63*(1+$G$2)),0)+IF($H63&gt;0,MIN($R$3,$H63*(1+$H$2)),0)+IF($I63&gt;0,MIN($S$3,$I63*(1+$I$2)),0)+IF($J63&gt;0,MIN($T$3,$J63*(1+$J$2)),0)+IF($L63&gt;0,MIN($V$3,$L63*(1+$L$2)),0)))),MIN($U$3,$K63*(1+K$2))))</f>
        <v/>
      </c>
      <c r="V64" s="37">
        <f>IF($L63&lt;=0,0,IF($Y64=10,MIN($L63*(1+L$2),MAX(0,$B64-(IF($C63&gt;0,MIN($M$3,$C63*(1+$C$2)),0)+IF($D63&gt;0,MIN($N$3,$D63*(1+$D$2)),0)+IF($E63&gt;0,MIN($O$3,$E63*(1+$E$2)),0)+IF($F63&gt;0,MIN($P$3,$F63*(1+$F$2)),0)+IF($G63&gt;0,MIN($Q$3,$G63*(1+$G$2)),0)+IF($H63&gt;0,MIN($R$3,$H63*(1+$H$2)),0)+IF($I63&gt;0,MIN($S$3,$I63*(1+$I$2)),0)+IF($J63&gt;0,MIN($T$3,$J63*(1+$J$2)),0)+IF($K63&gt;0,MIN($U$3,$K63*(1+$K$2)),0)))),MIN($V$3,$L63*(1+L$2))))</f>
        <v/>
      </c>
      <c r="W64" s="37">
        <f>ROUND(SUMPRODUCT($C63:$L63,$C$2:$L$2),2)</f>
        <v/>
      </c>
      <c r="X64" s="37">
        <f>SUM($C64:$L64)</f>
        <v/>
      </c>
      <c r="Y64" s="42">
        <f>IF($X63=0,"",MIN(IF($C63&gt;0,1,'My Debts'!$B$13+1),IF($D63&gt;0,2,'My Debts'!$B$13+1),IF($E63&gt;0,3,'My Debts'!$B$13+1),IF($F63&gt;0,4,'My Debts'!$B$13+1),IF($G63&gt;0,5,'My Debts'!$B$13+1),IF($H63&gt;0,6,'My Debts'!$B$13+1),IF($I63&gt;0,7,'My Debts'!$B$13+1),IF($J63&gt;0,8,'My Debts'!$B$13+1),IF($K63&gt;0,9,'My Debts'!$B$13+1),IF($L63&gt;0,10,'My Debts'!$B$13+1)))</f>
        <v/>
      </c>
    </row>
    <row r="65" ht="18" customHeight="1" s="44">
      <c r="A65" s="42" t="n">
        <v>60</v>
      </c>
      <c r="B65" s="37">
        <f>IF($X64&gt;0,'My Debts'!$B$8,0)</f>
        <v/>
      </c>
      <c r="C65" s="37">
        <f>ROUND(MAX(0,$C64*(1+C$2)-M65),2)</f>
        <v/>
      </c>
      <c r="D65" s="37">
        <f>ROUND(MAX(0,$D64*(1+D$2)-N65),2)</f>
        <v/>
      </c>
      <c r="E65" s="37">
        <f>ROUND(MAX(0,$E64*(1+E$2)-O65),2)</f>
        <v/>
      </c>
      <c r="F65" s="37">
        <f>ROUND(MAX(0,$F64*(1+F$2)-P65),2)</f>
        <v/>
      </c>
      <c r="G65" s="37">
        <f>ROUND(MAX(0,$G64*(1+G$2)-Q65),2)</f>
        <v/>
      </c>
      <c r="H65" s="37">
        <f>ROUND(MAX(0,$H64*(1+H$2)-R65),2)</f>
        <v/>
      </c>
      <c r="I65" s="37">
        <f>ROUND(MAX(0,$I64*(1+I$2)-S65),2)</f>
        <v/>
      </c>
      <c r="J65" s="37">
        <f>ROUND(MAX(0,$J64*(1+J$2)-T65),2)</f>
        <v/>
      </c>
      <c r="K65" s="37">
        <f>ROUND(MAX(0,$K64*(1+K$2)-U65),2)</f>
        <v/>
      </c>
      <c r="L65" s="37">
        <f>ROUND(MAX(0,$L64*(1+L$2)-V65),2)</f>
        <v/>
      </c>
      <c r="M65" s="37">
        <f>IF($C64&lt;=0,0,IF($Y65=1,MIN($C64*(1+C$2),MAX(0,$B65-(IF($D64&gt;0,MIN($N$3,$D64*(1+$D$2)),0)+IF($E64&gt;0,MIN($O$3,$E64*(1+$E$2)),0)+IF($F64&gt;0,MIN($P$3,$F64*(1+$F$2)),0)+IF($G64&gt;0,MIN($Q$3,$G64*(1+$G$2)),0)+IF($H64&gt;0,MIN($R$3,$H64*(1+$H$2)),0)+IF($I64&gt;0,MIN($S$3,$I64*(1+$I$2)),0)+IF($J64&gt;0,MIN($T$3,$J64*(1+$J$2)),0)+IF($K64&gt;0,MIN($U$3,$K64*(1+$K$2)),0)+IF($L64&gt;0,MIN($V$3,$L64*(1+$L$2)),0)))),MIN($M$3,$C64*(1+C$2))))</f>
        <v/>
      </c>
      <c r="N65" s="37">
        <f>IF($D64&lt;=0,0,IF($Y65=2,MIN($D64*(1+D$2),MAX(0,$B65-(IF($C64&gt;0,MIN($M$3,$C64*(1+$C$2)),0)+IF($E64&gt;0,MIN($O$3,$E64*(1+$E$2)),0)+IF($F64&gt;0,MIN($P$3,$F64*(1+$F$2)),0)+IF($G64&gt;0,MIN($Q$3,$G64*(1+$G$2)),0)+IF($H64&gt;0,MIN($R$3,$H64*(1+$H$2)),0)+IF($I64&gt;0,MIN($S$3,$I64*(1+$I$2)),0)+IF($J64&gt;0,MIN($T$3,$J64*(1+$J$2)),0)+IF($K64&gt;0,MIN($U$3,$K64*(1+$K$2)),0)+IF($L64&gt;0,MIN($V$3,$L64*(1+$L$2)),0)))),MIN($N$3,$D64*(1+D$2))))</f>
        <v/>
      </c>
      <c r="O65" s="37">
        <f>IF($E64&lt;=0,0,IF($Y65=3,MIN($E64*(1+E$2),MAX(0,$B65-(IF($C64&gt;0,MIN($M$3,$C64*(1+$C$2)),0)+IF($D64&gt;0,MIN($N$3,$D64*(1+$D$2)),0)+IF($F64&gt;0,MIN($P$3,$F64*(1+$F$2)),0)+IF($G64&gt;0,MIN($Q$3,$G64*(1+$G$2)),0)+IF($H64&gt;0,MIN($R$3,$H64*(1+$H$2)),0)+IF($I64&gt;0,MIN($S$3,$I64*(1+$I$2)),0)+IF($J64&gt;0,MIN($T$3,$J64*(1+$J$2)),0)+IF($K64&gt;0,MIN($U$3,$K64*(1+$K$2)),0)+IF($L64&gt;0,MIN($V$3,$L64*(1+$L$2)),0)))),MIN($O$3,$E64*(1+E$2))))</f>
        <v/>
      </c>
      <c r="P65" s="37">
        <f>IF($F64&lt;=0,0,IF($Y65=4,MIN($F64*(1+F$2),MAX(0,$B65-(IF($C64&gt;0,MIN($M$3,$C64*(1+$C$2)),0)+IF($D64&gt;0,MIN($N$3,$D64*(1+$D$2)),0)+IF($E64&gt;0,MIN($O$3,$E64*(1+$E$2)),0)+IF($G64&gt;0,MIN($Q$3,$G64*(1+$G$2)),0)+IF($H64&gt;0,MIN($R$3,$H64*(1+$H$2)),0)+IF($I64&gt;0,MIN($S$3,$I64*(1+$I$2)),0)+IF($J64&gt;0,MIN($T$3,$J64*(1+$J$2)),0)+IF($K64&gt;0,MIN($U$3,$K64*(1+$K$2)),0)+IF($L64&gt;0,MIN($V$3,$L64*(1+$L$2)),0)))),MIN($P$3,$F64*(1+F$2))))</f>
        <v/>
      </c>
      <c r="Q65" s="37">
        <f>IF($G64&lt;=0,0,IF($Y65=5,MIN($G64*(1+G$2),MAX(0,$B65-(IF($C64&gt;0,MIN($M$3,$C64*(1+$C$2)),0)+IF($D64&gt;0,MIN($N$3,$D64*(1+$D$2)),0)+IF($E64&gt;0,MIN($O$3,$E64*(1+$E$2)),0)+IF($F64&gt;0,MIN($P$3,$F64*(1+$F$2)),0)+IF($H64&gt;0,MIN($R$3,$H64*(1+$H$2)),0)+IF($I64&gt;0,MIN($S$3,$I64*(1+$I$2)),0)+IF($J64&gt;0,MIN($T$3,$J64*(1+$J$2)),0)+IF($K64&gt;0,MIN($U$3,$K64*(1+$K$2)),0)+IF($L64&gt;0,MIN($V$3,$L64*(1+$L$2)),0)))),MIN($Q$3,$G64*(1+G$2))))</f>
        <v/>
      </c>
      <c r="R65" s="37">
        <f>IF($H64&lt;=0,0,IF($Y65=6,MIN($H64*(1+H$2),MAX(0,$B65-(IF($C64&gt;0,MIN($M$3,$C64*(1+$C$2)),0)+IF($D64&gt;0,MIN($N$3,$D64*(1+$D$2)),0)+IF($E64&gt;0,MIN($O$3,$E64*(1+$E$2)),0)+IF($F64&gt;0,MIN($P$3,$F64*(1+$F$2)),0)+IF($G64&gt;0,MIN($Q$3,$G64*(1+$G$2)),0)+IF($I64&gt;0,MIN($S$3,$I64*(1+$I$2)),0)+IF($J64&gt;0,MIN($T$3,$J64*(1+$J$2)),0)+IF($K64&gt;0,MIN($U$3,$K64*(1+$K$2)),0)+IF($L64&gt;0,MIN($V$3,$L64*(1+$L$2)),0)))),MIN($R$3,$H64*(1+H$2))))</f>
        <v/>
      </c>
      <c r="S65" s="37">
        <f>IF($I64&lt;=0,0,IF($Y65=7,MIN($I64*(1+I$2),MAX(0,$B65-(IF($C64&gt;0,MIN($M$3,$C64*(1+$C$2)),0)+IF($D64&gt;0,MIN($N$3,$D64*(1+$D$2)),0)+IF($E64&gt;0,MIN($O$3,$E64*(1+$E$2)),0)+IF($F64&gt;0,MIN($P$3,$F64*(1+$F$2)),0)+IF($G64&gt;0,MIN($Q$3,$G64*(1+$G$2)),0)+IF($H64&gt;0,MIN($R$3,$H64*(1+$H$2)),0)+IF($J64&gt;0,MIN($T$3,$J64*(1+$J$2)),0)+IF($K64&gt;0,MIN($U$3,$K64*(1+$K$2)),0)+IF($L64&gt;0,MIN($V$3,$L64*(1+$L$2)),0)))),MIN($S$3,$I64*(1+I$2))))</f>
        <v/>
      </c>
      <c r="T65" s="37">
        <f>IF($J64&lt;=0,0,IF($Y65=8,MIN($J64*(1+J$2),MAX(0,$B65-(IF($C64&gt;0,MIN($M$3,$C64*(1+$C$2)),0)+IF($D64&gt;0,MIN($N$3,$D64*(1+$D$2)),0)+IF($E64&gt;0,MIN($O$3,$E64*(1+$E$2)),0)+IF($F64&gt;0,MIN($P$3,$F64*(1+$F$2)),0)+IF($G64&gt;0,MIN($Q$3,$G64*(1+$G$2)),0)+IF($H64&gt;0,MIN($R$3,$H64*(1+$H$2)),0)+IF($I64&gt;0,MIN($S$3,$I64*(1+$I$2)),0)+IF($K64&gt;0,MIN($U$3,$K64*(1+$K$2)),0)+IF($L64&gt;0,MIN($V$3,$L64*(1+$L$2)),0)))),MIN($T$3,$J64*(1+J$2))))</f>
        <v/>
      </c>
      <c r="U65" s="37">
        <f>IF($K64&lt;=0,0,IF($Y65=9,MIN($K64*(1+K$2),MAX(0,$B65-(IF($C64&gt;0,MIN($M$3,$C64*(1+$C$2)),0)+IF($D64&gt;0,MIN($N$3,$D64*(1+$D$2)),0)+IF($E64&gt;0,MIN($O$3,$E64*(1+$E$2)),0)+IF($F64&gt;0,MIN($P$3,$F64*(1+$F$2)),0)+IF($G64&gt;0,MIN($Q$3,$G64*(1+$G$2)),0)+IF($H64&gt;0,MIN($R$3,$H64*(1+$H$2)),0)+IF($I64&gt;0,MIN($S$3,$I64*(1+$I$2)),0)+IF($J64&gt;0,MIN($T$3,$J64*(1+$J$2)),0)+IF($L64&gt;0,MIN($V$3,$L64*(1+$L$2)),0)))),MIN($U$3,$K64*(1+K$2))))</f>
        <v/>
      </c>
      <c r="V65" s="37">
        <f>IF($L64&lt;=0,0,IF($Y65=10,MIN($L64*(1+L$2),MAX(0,$B65-(IF($C64&gt;0,MIN($M$3,$C64*(1+$C$2)),0)+IF($D64&gt;0,MIN($N$3,$D64*(1+$D$2)),0)+IF($E64&gt;0,MIN($O$3,$E64*(1+$E$2)),0)+IF($F64&gt;0,MIN($P$3,$F64*(1+$F$2)),0)+IF($G64&gt;0,MIN($Q$3,$G64*(1+$G$2)),0)+IF($H64&gt;0,MIN($R$3,$H64*(1+$H$2)),0)+IF($I64&gt;0,MIN($S$3,$I64*(1+$I$2)),0)+IF($J64&gt;0,MIN($T$3,$J64*(1+$J$2)),0)+IF($K64&gt;0,MIN($U$3,$K64*(1+$K$2)),0)))),MIN($V$3,$L64*(1+L$2))))</f>
        <v/>
      </c>
      <c r="W65" s="37">
        <f>ROUND(SUMPRODUCT($C64:$L64,$C$2:$L$2),2)</f>
        <v/>
      </c>
      <c r="X65" s="37">
        <f>SUM($C65:$L65)</f>
        <v/>
      </c>
      <c r="Y65" s="42">
        <f>IF($X64=0,"",MIN(IF($C64&gt;0,1,'My Debts'!$B$13+1),IF($D64&gt;0,2,'My Debts'!$B$13+1),IF($E64&gt;0,3,'My Debts'!$B$13+1),IF($F64&gt;0,4,'My Debts'!$B$13+1),IF($G64&gt;0,5,'My Debts'!$B$13+1),IF($H64&gt;0,6,'My Debts'!$B$13+1),IF($I64&gt;0,7,'My Debts'!$B$13+1),IF($J64&gt;0,8,'My Debts'!$B$13+1),IF($K64&gt;0,9,'My Debts'!$B$13+1),IF($L64&gt;0,10,'My Debts'!$B$13+1)))</f>
        <v/>
      </c>
    </row>
    <row r="66" ht="15.75" customHeight="1" s="44"/>
    <row r="67" ht="15.75" customHeight="1" s="44"/>
    <row r="68" ht="15.75" customHeight="1" s="44"/>
    <row r="69" ht="15.75" customHeight="1" s="44"/>
    <row r="70" ht="15.75" customHeight="1" s="44"/>
    <row r="71" ht="15.75" customHeight="1" s="44"/>
    <row r="72" ht="15.75" customHeight="1" s="44"/>
    <row r="73" ht="15.75" customHeight="1" s="44"/>
    <row r="74" ht="15.75" customHeight="1" s="44"/>
    <row r="75" ht="15.75" customHeight="1" s="44"/>
    <row r="76" ht="15.75" customHeight="1" s="44"/>
    <row r="77" ht="15.75" customHeight="1" s="44"/>
    <row r="78" ht="15.75" customHeight="1" s="44"/>
    <row r="79" ht="15.75" customHeight="1" s="44"/>
    <row r="80" ht="15.75" customHeight="1" s="44"/>
    <row r="81" ht="15.75" customHeight="1" s="44"/>
    <row r="82" ht="15.75" customHeight="1" s="44"/>
    <row r="83" ht="15.75" customHeight="1" s="44"/>
    <row r="84" ht="15.75" customHeight="1" s="44"/>
    <row r="85" ht="15.75" customHeight="1" s="44"/>
    <row r="86" ht="15.75" customHeight="1" s="44"/>
    <row r="87" ht="15.75" customHeight="1" s="44"/>
    <row r="88" ht="15.75" customHeight="1" s="44"/>
    <row r="89" ht="15.75" customHeight="1" s="44"/>
    <row r="90" ht="15.75" customHeight="1" s="44"/>
    <row r="91" ht="15.75" customHeight="1" s="44"/>
    <row r="92" ht="15.75" customHeight="1" s="44"/>
    <row r="93" ht="15.75" customHeight="1" s="44"/>
    <row r="94" ht="15.75" customHeight="1" s="44"/>
    <row r="95" ht="15.75" customHeight="1" s="44"/>
    <row r="96" ht="15.75" customHeight="1" s="44"/>
    <row r="97" ht="15.75" customHeight="1" s="44"/>
    <row r="98" ht="15.75" customHeight="1" s="44"/>
    <row r="99" ht="15.75" customHeight="1" s="44"/>
    <row r="100" ht="15.75" customHeight="1" s="44"/>
    <row r="101" ht="15.75" customHeight="1" s="44"/>
    <row r="102" ht="15.75" customHeight="1" s="44"/>
    <row r="103" ht="15.75" customHeight="1" s="44"/>
    <row r="104" ht="15.75" customHeight="1" s="44"/>
    <row r="105" ht="15.75" customHeight="1" s="44"/>
    <row r="106" ht="15.75" customHeight="1" s="44"/>
    <row r="107" ht="15.75" customHeight="1" s="44"/>
    <row r="108" ht="15.75" customHeight="1" s="44"/>
    <row r="109" ht="15.75" customHeight="1" s="44"/>
    <row r="110" ht="15.75" customHeight="1" s="44"/>
    <row r="111" ht="15.75" customHeight="1" s="44"/>
    <row r="112" ht="15.75" customHeight="1" s="44"/>
    <row r="113" ht="15.75" customHeight="1" s="44"/>
    <row r="114" ht="15.75" customHeight="1" s="44"/>
    <row r="115" ht="15.75" customHeight="1" s="44"/>
    <row r="116" ht="15.75" customHeight="1" s="44"/>
    <row r="117" ht="15.75" customHeight="1" s="44"/>
    <row r="118" ht="15.75" customHeight="1" s="44"/>
    <row r="119" ht="15.75" customHeight="1" s="44"/>
    <row r="120" ht="15.75" customHeight="1" s="44"/>
    <row r="121" ht="15.75" customHeight="1" s="44"/>
    <row r="122" ht="15.75" customHeight="1" s="44"/>
    <row r="123" ht="15.75" customHeight="1" s="44"/>
    <row r="124" ht="15.75" customHeight="1" s="44"/>
    <row r="125" ht="15.75" customHeight="1" s="44"/>
    <row r="126" ht="15.75" customHeight="1" s="44"/>
    <row r="127" ht="15.75" customHeight="1" s="44"/>
    <row r="128" ht="15.75" customHeight="1" s="44"/>
    <row r="129" ht="15.75" customHeight="1" s="44"/>
    <row r="130" ht="15.75" customHeight="1" s="44"/>
    <row r="131" ht="15.75" customHeight="1" s="44"/>
    <row r="132" ht="15.75" customHeight="1" s="44"/>
    <row r="133" ht="15.75" customHeight="1" s="44"/>
    <row r="134" ht="15.75" customHeight="1" s="44"/>
    <row r="135" ht="15.75" customHeight="1" s="44"/>
    <row r="136" ht="15.75" customHeight="1" s="44"/>
    <row r="137" ht="15.75" customHeight="1" s="44"/>
    <row r="138" ht="15.75" customHeight="1" s="44"/>
    <row r="139" ht="15.75" customHeight="1" s="44"/>
    <row r="140" ht="15.75" customHeight="1" s="44"/>
    <row r="141" ht="15.75" customHeight="1" s="44"/>
    <row r="142" ht="15.75" customHeight="1" s="44"/>
    <row r="143" ht="15.75" customHeight="1" s="44"/>
    <row r="144" ht="15.75" customHeight="1" s="44"/>
    <row r="145" ht="15.75" customHeight="1" s="44"/>
    <row r="146" ht="15.75" customHeight="1" s="44"/>
    <row r="147" ht="15.75" customHeight="1" s="44"/>
    <row r="148" ht="15.75" customHeight="1" s="44"/>
    <row r="149" ht="15.75" customHeight="1" s="44"/>
    <row r="150" ht="15.75" customHeight="1" s="44"/>
    <row r="151" ht="15.75" customHeight="1" s="44"/>
    <row r="152" ht="15.75" customHeight="1" s="44"/>
    <row r="153" ht="15.75" customHeight="1" s="44"/>
    <row r="154" ht="15.75" customHeight="1" s="44"/>
    <row r="155" ht="15.75" customHeight="1" s="44"/>
    <row r="156" ht="15.75" customHeight="1" s="44"/>
    <row r="157" ht="15.75" customHeight="1" s="44"/>
    <row r="158" ht="15.75" customHeight="1" s="44"/>
    <row r="159" ht="15.75" customHeight="1" s="44"/>
    <row r="160" ht="15.75" customHeight="1" s="44"/>
    <row r="161" ht="15.75" customHeight="1" s="44"/>
    <row r="162" ht="15.75" customHeight="1" s="44"/>
    <row r="163" ht="15.75" customHeight="1" s="44"/>
    <row r="164" ht="15.75" customHeight="1" s="44"/>
    <row r="165" ht="15.75" customHeight="1" s="44"/>
    <row r="166" ht="15.75" customHeight="1" s="44"/>
    <row r="167" ht="15.75" customHeight="1" s="44"/>
    <row r="168" ht="15.75" customHeight="1" s="44"/>
    <row r="169" ht="15.75" customHeight="1" s="44"/>
    <row r="170" ht="15.75" customHeight="1" s="44"/>
    <row r="171" ht="15.75" customHeight="1" s="44"/>
    <row r="172" ht="15.75" customHeight="1" s="44"/>
    <row r="173" ht="15.75" customHeight="1" s="44"/>
    <row r="174" ht="15.75" customHeight="1" s="44"/>
    <row r="175" ht="15.75" customHeight="1" s="44"/>
    <row r="176" ht="15.75" customHeight="1" s="44"/>
    <row r="177" ht="15.75" customHeight="1" s="44"/>
    <row r="178" ht="15.75" customHeight="1" s="44"/>
    <row r="179" ht="15.75" customHeight="1" s="44"/>
    <row r="180" ht="15.75" customHeight="1" s="44"/>
    <row r="181" ht="15.75" customHeight="1" s="44"/>
    <row r="182" ht="15.75" customHeight="1" s="44"/>
    <row r="183" ht="15.75" customHeight="1" s="44"/>
    <row r="184" ht="15.75" customHeight="1" s="44"/>
    <row r="185" ht="15.75" customHeight="1" s="44"/>
    <row r="186" ht="15.75" customHeight="1" s="44"/>
    <row r="187" ht="15.75" customHeight="1" s="44"/>
    <row r="188" ht="15.75" customHeight="1" s="44"/>
    <row r="189" ht="15.75" customHeight="1" s="44"/>
    <row r="190" ht="15.75" customHeight="1" s="44"/>
    <row r="191" ht="15.75" customHeight="1" s="44"/>
    <row r="192" ht="15.75" customHeight="1" s="44"/>
    <row r="193" ht="15.75" customHeight="1" s="44"/>
    <row r="194" ht="15.75" customHeight="1" s="44"/>
    <row r="195" ht="15.75" customHeight="1" s="44"/>
    <row r="196" ht="15.75" customHeight="1" s="44"/>
    <row r="197" ht="15.75" customHeight="1" s="44"/>
    <row r="198" ht="15.75" customHeight="1" s="44"/>
    <row r="199" ht="15.75" customHeight="1" s="44"/>
    <row r="200" ht="15.75" customHeight="1" s="44"/>
    <row r="201" ht="15.75" customHeight="1" s="44"/>
    <row r="202" ht="15.75" customHeight="1" s="44"/>
    <row r="203" ht="15.75" customHeight="1" s="44"/>
    <row r="204" ht="15.75" customHeight="1" s="44"/>
    <row r="205" ht="15.75" customHeight="1" s="44"/>
    <row r="206" ht="15.75" customHeight="1" s="44"/>
    <row r="207" ht="15.75" customHeight="1" s="44"/>
    <row r="208" ht="15.75" customHeight="1" s="44"/>
    <row r="209" ht="15.75" customHeight="1" s="44"/>
    <row r="210" ht="15.75" customHeight="1" s="44"/>
    <row r="211" ht="15.75" customHeight="1" s="44"/>
    <row r="212" ht="15.75" customHeight="1" s="44"/>
    <row r="213" ht="15.75" customHeight="1" s="44"/>
    <row r="214" ht="15.75" customHeight="1" s="44"/>
    <row r="215" ht="15.75" customHeight="1" s="44"/>
    <row r="216" ht="15.75" customHeight="1" s="44"/>
    <row r="217" ht="15.75" customHeight="1" s="44"/>
    <row r="218" ht="15.75" customHeight="1" s="44"/>
    <row r="219" ht="15.75" customHeight="1" s="44"/>
    <row r="220" ht="15.75" customHeight="1" s="44"/>
    <row r="221" ht="15.75" customHeight="1" s="44"/>
    <row r="222" ht="15.75" customHeight="1" s="44"/>
    <row r="223" ht="15.75" customHeight="1" s="44"/>
    <row r="224" ht="15.75" customHeight="1" s="44"/>
    <row r="225" ht="15.75" customHeight="1" s="44"/>
    <row r="226" ht="15.75" customHeight="1" s="44"/>
    <row r="227" ht="15.75" customHeight="1" s="44"/>
    <row r="228" ht="15.75" customHeight="1" s="44"/>
    <row r="229" ht="15.75" customHeight="1" s="44"/>
    <row r="230" ht="15.75" customHeight="1" s="44"/>
    <row r="231" ht="15.75" customHeight="1" s="44"/>
    <row r="232" ht="15.75" customHeight="1" s="44"/>
    <row r="233" ht="15.75" customHeight="1" s="44"/>
    <row r="234" ht="15.75" customHeight="1" s="44"/>
    <row r="235" ht="15.75" customHeight="1" s="44"/>
    <row r="236" ht="15.75" customHeight="1" s="44"/>
    <row r="237" ht="15.75" customHeight="1" s="44"/>
    <row r="238" ht="15.75" customHeight="1" s="44"/>
    <row r="239" ht="15.75" customHeight="1" s="44"/>
    <row r="240" ht="15.75" customHeight="1" s="44"/>
    <row r="241" ht="15.75" customHeight="1" s="44"/>
    <row r="242" ht="15.75" customHeight="1" s="44"/>
    <row r="243" ht="15.75" customHeight="1" s="44"/>
    <row r="244" ht="15.75" customHeight="1" s="44"/>
    <row r="245" ht="15.75" customHeight="1" s="44"/>
    <row r="246" ht="15.75" customHeight="1" s="44"/>
    <row r="247" ht="15.75" customHeight="1" s="44"/>
    <row r="248" ht="15.75" customHeight="1" s="44"/>
    <row r="249" ht="15.75" customHeight="1" s="44"/>
    <row r="250" ht="15.75" customHeight="1" s="44"/>
    <row r="251" ht="15.75" customHeight="1" s="44"/>
    <row r="252" ht="15.75" customHeight="1" s="44"/>
    <row r="253" ht="15.75" customHeight="1" s="44"/>
    <row r="254" ht="15.75" customHeight="1" s="44"/>
    <row r="255" ht="15.75" customHeight="1" s="44"/>
    <row r="256" ht="15.75" customHeight="1" s="44"/>
    <row r="257" ht="15.75" customHeight="1" s="44"/>
    <row r="258" ht="15.75" customHeight="1" s="44"/>
    <row r="259" ht="15.75" customHeight="1" s="44"/>
    <row r="260" ht="15.75" customHeight="1" s="44"/>
    <row r="261" ht="15.75" customHeight="1" s="44"/>
    <row r="262" ht="15.75" customHeight="1" s="44"/>
    <row r="263" ht="15.75" customHeight="1" s="44"/>
    <row r="264" ht="15.75" customHeight="1" s="44"/>
    <row r="265" ht="15.75" customHeight="1" s="44"/>
    <row r="266" ht="15.75" customHeight="1" s="44"/>
    <row r="267" ht="15.75" customHeight="1" s="44"/>
    <row r="268" ht="15.75" customHeight="1" s="44"/>
    <row r="269" ht="15.75" customHeight="1" s="44"/>
    <row r="270" ht="15.75" customHeight="1" s="44"/>
    <row r="271" ht="15.75" customHeight="1" s="44"/>
    <row r="272" ht="15.75" customHeight="1" s="44"/>
    <row r="273" ht="15.75" customHeight="1" s="44"/>
    <row r="274" ht="15.75" customHeight="1" s="44"/>
    <row r="275" ht="15.75" customHeight="1" s="44"/>
    <row r="276" ht="15.75" customHeight="1" s="44"/>
    <row r="277" ht="15.75" customHeight="1" s="44"/>
    <row r="278" ht="15.75" customHeight="1" s="44"/>
    <row r="279" ht="15.75" customHeight="1" s="44"/>
    <row r="280" ht="15.75" customHeight="1" s="44"/>
    <row r="281" ht="15.75" customHeight="1" s="44"/>
    <row r="282" ht="15.75" customHeight="1" s="44"/>
    <row r="283" ht="15.75" customHeight="1" s="44"/>
    <row r="284" ht="15.75" customHeight="1" s="44"/>
    <row r="285" ht="15.75" customHeight="1" s="44"/>
    <row r="286" ht="15.75" customHeight="1" s="44"/>
    <row r="287" ht="15.75" customHeight="1" s="44"/>
    <row r="288" ht="15.75" customHeight="1" s="44"/>
    <row r="289" ht="15.75" customHeight="1" s="44"/>
    <row r="290" ht="15.75" customHeight="1" s="44"/>
    <row r="291" ht="15.75" customHeight="1" s="44"/>
    <row r="292" ht="15.75" customHeight="1" s="44"/>
    <row r="293" ht="15.75" customHeight="1" s="44"/>
    <row r="294" ht="15.75" customHeight="1" s="44"/>
    <row r="295" ht="15.75" customHeight="1" s="44"/>
    <row r="296" ht="15.75" customHeight="1" s="44"/>
    <row r="297" ht="15.75" customHeight="1" s="44"/>
    <row r="298" ht="15.75" customHeight="1" s="44"/>
    <row r="299" ht="15.75" customHeight="1" s="44"/>
    <row r="300" ht="15.75" customHeight="1" s="44"/>
    <row r="301" ht="15.75" customHeight="1" s="44"/>
    <row r="302" ht="15.75" customHeight="1" s="44"/>
    <row r="303" ht="15.75" customHeight="1" s="44"/>
    <row r="304" ht="15.75" customHeight="1" s="44"/>
    <row r="305" ht="15.75" customHeight="1" s="44"/>
    <row r="306" ht="15.75" customHeight="1" s="44"/>
    <row r="307" ht="15.75" customHeight="1" s="44"/>
    <row r="308" ht="15.75" customHeight="1" s="44"/>
    <row r="309" ht="15.75" customHeight="1" s="44"/>
    <row r="310" ht="15.75" customHeight="1" s="44"/>
    <row r="311" ht="15.75" customHeight="1" s="44"/>
    <row r="312" ht="15.75" customHeight="1" s="44"/>
    <row r="313" ht="15.75" customHeight="1" s="44"/>
    <row r="314" ht="15.75" customHeight="1" s="44"/>
    <row r="315" ht="15.75" customHeight="1" s="44"/>
    <row r="316" ht="15.75" customHeight="1" s="44"/>
    <row r="317" ht="15.75" customHeight="1" s="44"/>
    <row r="318" ht="15.75" customHeight="1" s="44"/>
    <row r="319" ht="15.75" customHeight="1" s="44"/>
    <row r="320" ht="15.75" customHeight="1" s="44"/>
    <row r="321" ht="15.75" customHeight="1" s="44"/>
    <row r="322" ht="15.75" customHeight="1" s="44"/>
    <row r="323" ht="15.75" customHeight="1" s="44"/>
    <row r="324" ht="15.75" customHeight="1" s="44"/>
    <row r="325" ht="15.75" customHeight="1" s="44"/>
    <row r="326" ht="15.75" customHeight="1" s="44"/>
    <row r="327" ht="15.75" customHeight="1" s="44"/>
    <row r="328" ht="15.75" customHeight="1" s="44"/>
    <row r="329" ht="15.75" customHeight="1" s="44"/>
    <row r="330" ht="15.75" customHeight="1" s="44"/>
    <row r="331" ht="15.75" customHeight="1" s="44"/>
    <row r="332" ht="15.75" customHeight="1" s="44"/>
    <row r="333" ht="15.75" customHeight="1" s="44"/>
    <row r="334" ht="15.75" customHeight="1" s="44"/>
    <row r="335" ht="15.75" customHeight="1" s="44"/>
    <row r="336" ht="15.75" customHeight="1" s="44"/>
    <row r="337" ht="15.75" customHeight="1" s="44"/>
    <row r="338" ht="15.75" customHeight="1" s="44"/>
    <row r="339" ht="15.75" customHeight="1" s="44"/>
    <row r="340" ht="15.75" customHeight="1" s="44"/>
    <row r="341" ht="15.75" customHeight="1" s="44"/>
    <row r="342" ht="15.75" customHeight="1" s="44"/>
    <row r="343" ht="15.75" customHeight="1" s="44"/>
    <row r="344" ht="15.75" customHeight="1" s="44"/>
    <row r="345" ht="15.75" customHeight="1" s="44"/>
    <row r="346" ht="15.75" customHeight="1" s="44"/>
    <row r="347" ht="15.75" customHeight="1" s="44"/>
    <row r="348" ht="15.75" customHeight="1" s="44"/>
    <row r="349" ht="15.75" customHeight="1" s="44"/>
    <row r="350" ht="15.75" customHeight="1" s="44"/>
    <row r="351" ht="15.75" customHeight="1" s="44"/>
    <row r="352" ht="15.75" customHeight="1" s="44"/>
    <row r="353" ht="15.75" customHeight="1" s="44"/>
    <row r="354" ht="15.75" customHeight="1" s="44"/>
    <row r="355" ht="15.75" customHeight="1" s="44"/>
    <row r="356" ht="15.75" customHeight="1" s="44"/>
    <row r="357" ht="15.75" customHeight="1" s="44"/>
    <row r="358" ht="15.75" customHeight="1" s="44"/>
    <row r="359" ht="15.75" customHeight="1" s="44"/>
    <row r="360" ht="15.75" customHeight="1" s="44"/>
    <row r="361" ht="15.75" customHeight="1" s="44"/>
    <row r="362" ht="15.75" customHeight="1" s="44"/>
    <row r="363" ht="15.75" customHeight="1" s="44"/>
    <row r="364" ht="15.75" customHeight="1" s="44"/>
    <row r="365" ht="15.75" customHeight="1" s="44"/>
    <row r="366" ht="15.75" customHeight="1" s="44"/>
    <row r="367" ht="15.75" customHeight="1" s="44"/>
    <row r="368" ht="15.75" customHeight="1" s="44"/>
    <row r="369" ht="15.75" customHeight="1" s="44"/>
    <row r="370" ht="15.75" customHeight="1" s="44"/>
    <row r="371" ht="15.75" customHeight="1" s="44"/>
    <row r="372" ht="15.75" customHeight="1" s="44"/>
    <row r="373" ht="15.75" customHeight="1" s="44"/>
    <row r="374" ht="15.75" customHeight="1" s="44"/>
    <row r="375" ht="15.75" customHeight="1" s="44"/>
    <row r="376" ht="15.75" customHeight="1" s="44"/>
    <row r="377" ht="15.75" customHeight="1" s="44"/>
    <row r="378" ht="15.75" customHeight="1" s="44"/>
    <row r="379" ht="15.75" customHeight="1" s="44"/>
    <row r="380" ht="15.75" customHeight="1" s="44"/>
    <row r="381" ht="15.75" customHeight="1" s="44"/>
    <row r="382" ht="15.75" customHeight="1" s="44"/>
    <row r="383" ht="15.75" customHeight="1" s="44"/>
    <row r="384" ht="15.75" customHeight="1" s="44"/>
    <row r="385" ht="15.75" customHeight="1" s="44"/>
    <row r="386" ht="15.75" customHeight="1" s="44"/>
    <row r="387" ht="15.75" customHeight="1" s="44"/>
    <row r="388" ht="15.75" customHeight="1" s="44"/>
    <row r="389" ht="15.75" customHeight="1" s="44"/>
    <row r="390" ht="15.75" customHeight="1" s="44"/>
    <row r="391" ht="15.75" customHeight="1" s="44"/>
    <row r="392" ht="15.75" customHeight="1" s="44"/>
    <row r="393" ht="15.75" customHeight="1" s="44"/>
    <row r="394" ht="15.75" customHeight="1" s="44"/>
    <row r="395" ht="15.75" customHeight="1" s="44"/>
    <row r="396" ht="15.75" customHeight="1" s="44"/>
    <row r="397" ht="15.75" customHeight="1" s="44"/>
    <row r="398" ht="15.75" customHeight="1" s="44"/>
    <row r="399" ht="15.75" customHeight="1" s="44"/>
    <row r="400" ht="15.75" customHeight="1" s="44"/>
    <row r="401" ht="15.75" customHeight="1" s="44"/>
    <row r="402" ht="15.75" customHeight="1" s="44"/>
    <row r="403" ht="15.75" customHeight="1" s="44"/>
    <row r="404" ht="15.75" customHeight="1" s="44"/>
    <row r="405" ht="15.75" customHeight="1" s="44"/>
    <row r="406" ht="15.75" customHeight="1" s="44"/>
    <row r="407" ht="15.75" customHeight="1" s="44"/>
    <row r="408" ht="15.75" customHeight="1" s="44"/>
    <row r="409" ht="15.75" customHeight="1" s="44"/>
    <row r="410" ht="15.75" customHeight="1" s="44"/>
    <row r="411" ht="15.75" customHeight="1" s="44"/>
    <row r="412" ht="15.75" customHeight="1" s="44"/>
    <row r="413" ht="15.75" customHeight="1" s="44"/>
    <row r="414" ht="15.75" customHeight="1" s="44"/>
    <row r="415" ht="15.75" customHeight="1" s="44"/>
    <row r="416" ht="15.75" customHeight="1" s="44"/>
    <row r="417" ht="15.75" customHeight="1" s="44"/>
    <row r="418" ht="15.75" customHeight="1" s="44"/>
    <row r="419" ht="15.75" customHeight="1" s="44"/>
    <row r="420" ht="15.75" customHeight="1" s="44"/>
    <row r="421" ht="15.75" customHeight="1" s="44"/>
    <row r="422" ht="15.75" customHeight="1" s="44"/>
    <row r="423" ht="15.75" customHeight="1" s="44"/>
    <row r="424" ht="15.75" customHeight="1" s="44"/>
    <row r="425" ht="15.75" customHeight="1" s="44"/>
    <row r="426" ht="15.75" customHeight="1" s="44"/>
    <row r="427" ht="15.75" customHeight="1" s="44"/>
    <row r="428" ht="15.75" customHeight="1" s="44"/>
    <row r="429" ht="15.75" customHeight="1" s="44"/>
    <row r="430" ht="15.75" customHeight="1" s="44"/>
    <row r="431" ht="15.75" customHeight="1" s="44"/>
    <row r="432" ht="15.75" customHeight="1" s="44"/>
    <row r="433" ht="15.75" customHeight="1" s="44"/>
    <row r="434" ht="15.75" customHeight="1" s="44"/>
    <row r="435" ht="15.75" customHeight="1" s="44"/>
    <row r="436" ht="15.75" customHeight="1" s="44"/>
    <row r="437" ht="15.75" customHeight="1" s="44"/>
    <row r="438" ht="15.75" customHeight="1" s="44"/>
    <row r="439" ht="15.75" customHeight="1" s="44"/>
    <row r="440" ht="15.75" customHeight="1" s="44"/>
    <row r="441" ht="15.75" customHeight="1" s="44"/>
    <row r="442" ht="15.75" customHeight="1" s="44"/>
    <row r="443" ht="15.75" customHeight="1" s="44"/>
    <row r="444" ht="15.75" customHeight="1" s="44"/>
    <row r="445" ht="15.75" customHeight="1" s="44"/>
    <row r="446" ht="15.75" customHeight="1" s="44"/>
    <row r="447" ht="15.75" customHeight="1" s="44"/>
    <row r="448" ht="15.75" customHeight="1" s="44"/>
    <row r="449" ht="15.75" customHeight="1" s="44"/>
    <row r="450" ht="15.75" customHeight="1" s="44"/>
    <row r="451" ht="15.75" customHeight="1" s="44"/>
    <row r="452" ht="15.75" customHeight="1" s="44"/>
    <row r="453" ht="15.75" customHeight="1" s="44"/>
    <row r="454" ht="15.75" customHeight="1" s="44"/>
    <row r="455" ht="15.75" customHeight="1" s="44"/>
    <row r="456" ht="15.75" customHeight="1" s="44"/>
    <row r="457" ht="15.75" customHeight="1" s="44"/>
    <row r="458" ht="15.75" customHeight="1" s="44"/>
    <row r="459" ht="15.75" customHeight="1" s="44"/>
    <row r="460" ht="15.75" customHeight="1" s="44"/>
    <row r="461" ht="15.75" customHeight="1" s="44"/>
    <row r="462" ht="15.75" customHeight="1" s="44"/>
    <row r="463" ht="15.75" customHeight="1" s="44"/>
    <row r="464" ht="15.75" customHeight="1" s="44"/>
    <row r="465" ht="15.75" customHeight="1" s="44"/>
    <row r="466" ht="15.75" customHeight="1" s="44"/>
    <row r="467" ht="15.75" customHeight="1" s="44"/>
    <row r="468" ht="15.75" customHeight="1" s="44"/>
    <row r="469" ht="15.75" customHeight="1" s="44"/>
    <row r="470" ht="15.75" customHeight="1" s="44"/>
    <row r="471" ht="15.75" customHeight="1" s="44"/>
    <row r="472" ht="15.75" customHeight="1" s="44"/>
    <row r="473" ht="15.75" customHeight="1" s="44"/>
    <row r="474" ht="15.75" customHeight="1" s="44"/>
    <row r="475" ht="15.75" customHeight="1" s="44"/>
    <row r="476" ht="15.75" customHeight="1" s="44"/>
    <row r="477" ht="15.75" customHeight="1" s="44"/>
    <row r="478" ht="15.75" customHeight="1" s="44"/>
    <row r="479" ht="15.75" customHeight="1" s="44"/>
    <row r="480" ht="15.75" customHeight="1" s="44"/>
    <row r="481" ht="15.75" customHeight="1" s="44"/>
    <row r="482" ht="15.75" customHeight="1" s="44"/>
    <row r="483" ht="15.75" customHeight="1" s="44"/>
    <row r="484" ht="15.75" customHeight="1" s="44"/>
    <row r="485" ht="15.75" customHeight="1" s="44"/>
    <row r="486" ht="15.75" customHeight="1" s="44"/>
    <row r="487" ht="15.75" customHeight="1" s="44"/>
    <row r="488" ht="15.75" customHeight="1" s="44"/>
    <row r="489" ht="15.75" customHeight="1" s="44"/>
    <row r="490" ht="15.75" customHeight="1" s="44"/>
    <row r="491" ht="15.75" customHeight="1" s="44"/>
    <row r="492" ht="15.75" customHeight="1" s="44"/>
    <row r="493" ht="15.75" customHeight="1" s="44"/>
    <row r="494" ht="15.75" customHeight="1" s="44"/>
    <row r="495" ht="15.75" customHeight="1" s="44"/>
    <row r="496" ht="15.75" customHeight="1" s="44"/>
    <row r="497" ht="15.75" customHeight="1" s="44"/>
    <row r="498" ht="15.75" customHeight="1" s="44"/>
    <row r="499" ht="15.75" customHeight="1" s="44"/>
    <row r="500" ht="15.75" customHeight="1" s="44"/>
    <row r="501" ht="15.75" customHeight="1" s="44"/>
    <row r="502" ht="15.75" customHeight="1" s="44"/>
    <row r="503" ht="15.75" customHeight="1" s="44"/>
    <row r="504" ht="15.75" customHeight="1" s="44"/>
    <row r="505" ht="15.75" customHeight="1" s="44"/>
    <row r="506" ht="15.75" customHeight="1" s="44"/>
    <row r="507" ht="15.75" customHeight="1" s="44"/>
    <row r="508" ht="15.75" customHeight="1" s="44"/>
    <row r="509" ht="15.75" customHeight="1" s="44"/>
    <row r="510" ht="15.75" customHeight="1" s="44"/>
    <row r="511" ht="15.75" customHeight="1" s="44"/>
    <row r="512" ht="15.75" customHeight="1" s="44"/>
    <row r="513" ht="15.75" customHeight="1" s="44"/>
    <row r="514" ht="15.75" customHeight="1" s="44"/>
    <row r="515" ht="15.75" customHeight="1" s="44"/>
    <row r="516" ht="15.75" customHeight="1" s="44"/>
    <row r="517" ht="15.75" customHeight="1" s="44"/>
    <row r="518" ht="15.75" customHeight="1" s="44"/>
    <row r="519" ht="15.75" customHeight="1" s="44"/>
    <row r="520" ht="15.75" customHeight="1" s="44"/>
    <row r="521" ht="15.75" customHeight="1" s="44"/>
    <row r="522" ht="15.75" customHeight="1" s="44"/>
    <row r="523" ht="15.75" customHeight="1" s="44"/>
    <row r="524" ht="15.75" customHeight="1" s="44"/>
    <row r="525" ht="15.75" customHeight="1" s="44"/>
    <row r="526" ht="15.75" customHeight="1" s="44"/>
    <row r="527" ht="15.75" customHeight="1" s="44"/>
    <row r="528" ht="15.75" customHeight="1" s="44"/>
    <row r="529" ht="15.75" customHeight="1" s="44"/>
    <row r="530" ht="15.75" customHeight="1" s="44"/>
    <row r="531" ht="15.75" customHeight="1" s="44"/>
    <row r="532" ht="15.75" customHeight="1" s="44"/>
    <row r="533" ht="15.75" customHeight="1" s="44"/>
    <row r="534" ht="15.75" customHeight="1" s="44"/>
    <row r="535" ht="15.75" customHeight="1" s="44"/>
    <row r="536" ht="15.75" customHeight="1" s="44"/>
    <row r="537" ht="15.75" customHeight="1" s="44"/>
    <row r="538" ht="15.75" customHeight="1" s="44"/>
    <row r="539" ht="15.75" customHeight="1" s="44"/>
    <row r="540" ht="15.75" customHeight="1" s="44"/>
    <row r="541" ht="15.75" customHeight="1" s="44"/>
    <row r="542" ht="15.75" customHeight="1" s="44"/>
    <row r="543" ht="15.75" customHeight="1" s="44"/>
    <row r="544" ht="15.75" customHeight="1" s="44"/>
    <row r="545" ht="15.75" customHeight="1" s="44"/>
    <row r="546" ht="15.75" customHeight="1" s="44"/>
    <row r="547" ht="15.75" customHeight="1" s="44"/>
    <row r="548" ht="15.75" customHeight="1" s="44"/>
    <row r="549" ht="15.75" customHeight="1" s="44"/>
    <row r="550" ht="15.75" customHeight="1" s="44"/>
    <row r="551" ht="15.75" customHeight="1" s="44"/>
    <row r="552" ht="15.75" customHeight="1" s="44"/>
    <row r="553" ht="15.75" customHeight="1" s="44"/>
    <row r="554" ht="15.75" customHeight="1" s="44"/>
    <row r="555" ht="15.75" customHeight="1" s="44"/>
    <row r="556" ht="15.75" customHeight="1" s="44"/>
    <row r="557" ht="15.75" customHeight="1" s="44"/>
    <row r="558" ht="15.75" customHeight="1" s="44"/>
    <row r="559" ht="15.75" customHeight="1" s="44"/>
    <row r="560" ht="15.75" customHeight="1" s="44"/>
    <row r="561" ht="15.75" customHeight="1" s="44"/>
    <row r="562" ht="15.75" customHeight="1" s="44"/>
    <row r="563" ht="15.75" customHeight="1" s="44"/>
    <row r="564" ht="15.75" customHeight="1" s="44"/>
    <row r="565" ht="15.75" customHeight="1" s="44"/>
    <row r="566" ht="15.75" customHeight="1" s="44"/>
    <row r="567" ht="15.75" customHeight="1" s="44"/>
    <row r="568" ht="15.75" customHeight="1" s="44"/>
    <row r="569" ht="15.75" customHeight="1" s="44"/>
    <row r="570" ht="15.75" customHeight="1" s="44"/>
    <row r="571" ht="15.75" customHeight="1" s="44"/>
    <row r="572" ht="15.75" customHeight="1" s="44"/>
    <row r="573" ht="15.75" customHeight="1" s="44"/>
    <row r="574" ht="15.75" customHeight="1" s="44"/>
    <row r="575" ht="15.75" customHeight="1" s="44"/>
    <row r="576" ht="15.75" customHeight="1" s="44"/>
    <row r="577" ht="15.75" customHeight="1" s="44"/>
    <row r="578" ht="15.75" customHeight="1" s="44"/>
    <row r="579" ht="15.75" customHeight="1" s="44"/>
    <row r="580" ht="15.75" customHeight="1" s="44"/>
    <row r="581" ht="15.75" customHeight="1" s="44"/>
    <row r="582" ht="15.75" customHeight="1" s="44"/>
    <row r="583" ht="15.75" customHeight="1" s="44"/>
    <row r="584" ht="15.75" customHeight="1" s="44"/>
    <row r="585" ht="15.75" customHeight="1" s="44"/>
    <row r="586" ht="15.75" customHeight="1" s="44"/>
    <row r="587" ht="15.75" customHeight="1" s="44"/>
    <row r="588" ht="15.75" customHeight="1" s="44"/>
    <row r="589" ht="15.75" customHeight="1" s="44"/>
    <row r="590" ht="15.75" customHeight="1" s="44"/>
    <row r="591" ht="15.75" customHeight="1" s="44"/>
    <row r="592" ht="15.75" customHeight="1" s="44"/>
    <row r="593" ht="15.75" customHeight="1" s="44"/>
    <row r="594" ht="15.75" customHeight="1" s="44"/>
    <row r="595" ht="15.75" customHeight="1" s="44"/>
    <row r="596" ht="15.75" customHeight="1" s="44"/>
    <row r="597" ht="15.75" customHeight="1" s="44"/>
    <row r="598" ht="15.75" customHeight="1" s="44"/>
    <row r="599" ht="15.75" customHeight="1" s="44"/>
    <row r="600" ht="15.75" customHeight="1" s="44"/>
    <row r="601" ht="15.75" customHeight="1" s="44"/>
    <row r="602" ht="15.75" customHeight="1" s="44"/>
    <row r="603" ht="15.75" customHeight="1" s="44"/>
    <row r="604" ht="15.75" customHeight="1" s="44"/>
    <row r="605" ht="15.75" customHeight="1" s="44"/>
    <row r="606" ht="15.75" customHeight="1" s="44"/>
    <row r="607" ht="15.75" customHeight="1" s="44"/>
    <row r="608" ht="15.75" customHeight="1" s="44"/>
    <row r="609" ht="15.75" customHeight="1" s="44"/>
    <row r="610" ht="15.75" customHeight="1" s="44"/>
    <row r="611" ht="15.75" customHeight="1" s="44"/>
    <row r="612" ht="15.75" customHeight="1" s="44"/>
    <row r="613" ht="15.75" customHeight="1" s="44"/>
    <row r="614" ht="15.75" customHeight="1" s="44"/>
    <row r="615" ht="15.75" customHeight="1" s="44"/>
    <row r="616" ht="15.75" customHeight="1" s="44"/>
    <row r="617" ht="15.75" customHeight="1" s="44"/>
    <row r="618" ht="15.75" customHeight="1" s="44"/>
    <row r="619" ht="15.75" customHeight="1" s="44"/>
    <row r="620" ht="15.75" customHeight="1" s="44"/>
    <row r="621" ht="15.75" customHeight="1" s="44"/>
    <row r="622" ht="15.75" customHeight="1" s="44"/>
    <row r="623" ht="15.75" customHeight="1" s="44"/>
    <row r="624" ht="15.75" customHeight="1" s="44"/>
    <row r="625" ht="15.75" customHeight="1" s="44"/>
    <row r="626" ht="15.75" customHeight="1" s="44"/>
    <row r="627" ht="15.75" customHeight="1" s="44"/>
    <row r="628" ht="15.75" customHeight="1" s="44"/>
    <row r="629" ht="15.75" customHeight="1" s="44"/>
    <row r="630" ht="15.75" customHeight="1" s="44"/>
    <row r="631" ht="15.75" customHeight="1" s="44"/>
    <row r="632" ht="15.75" customHeight="1" s="44"/>
    <row r="633" ht="15.75" customHeight="1" s="44"/>
    <row r="634" ht="15.75" customHeight="1" s="44"/>
    <row r="635" ht="15.75" customHeight="1" s="44"/>
    <row r="636" ht="15.75" customHeight="1" s="44"/>
    <row r="637" ht="15.75" customHeight="1" s="44"/>
    <row r="638" ht="15.75" customHeight="1" s="44"/>
    <row r="639" ht="15.75" customHeight="1" s="44"/>
    <row r="640" ht="15.75" customHeight="1" s="44"/>
    <row r="641" ht="15.75" customHeight="1" s="44"/>
    <row r="642" ht="15.75" customHeight="1" s="44"/>
    <row r="643" ht="15.75" customHeight="1" s="44"/>
    <row r="644" ht="15.75" customHeight="1" s="44"/>
    <row r="645" ht="15.75" customHeight="1" s="44"/>
    <row r="646" ht="15.75" customHeight="1" s="44"/>
    <row r="647" ht="15.75" customHeight="1" s="44"/>
    <row r="648" ht="15.75" customHeight="1" s="44"/>
    <row r="649" ht="15.75" customHeight="1" s="44"/>
    <row r="650" ht="15.75" customHeight="1" s="44"/>
    <row r="651" ht="15.75" customHeight="1" s="44"/>
    <row r="652" ht="15.75" customHeight="1" s="44"/>
    <row r="653" ht="15.75" customHeight="1" s="44"/>
    <row r="654" ht="15.75" customHeight="1" s="44"/>
    <row r="655" ht="15.75" customHeight="1" s="44"/>
    <row r="656" ht="15.75" customHeight="1" s="44"/>
    <row r="657" ht="15.75" customHeight="1" s="44"/>
    <row r="658" ht="15.75" customHeight="1" s="44"/>
    <row r="659" ht="15.75" customHeight="1" s="44"/>
    <row r="660" ht="15.75" customHeight="1" s="44"/>
    <row r="661" ht="15.75" customHeight="1" s="44"/>
    <row r="662" ht="15.75" customHeight="1" s="44"/>
    <row r="663" ht="15.75" customHeight="1" s="44"/>
    <row r="664" ht="15.75" customHeight="1" s="44"/>
    <row r="665" ht="15.75" customHeight="1" s="44"/>
    <row r="666" ht="15.75" customHeight="1" s="44"/>
    <row r="667" ht="15.75" customHeight="1" s="44"/>
    <row r="668" ht="15.75" customHeight="1" s="44"/>
    <row r="669" ht="15.75" customHeight="1" s="44"/>
    <row r="670" ht="15.75" customHeight="1" s="44"/>
    <row r="671" ht="15.75" customHeight="1" s="44"/>
    <row r="672" ht="15.75" customHeight="1" s="44"/>
    <row r="673" ht="15.75" customHeight="1" s="44"/>
    <row r="674" ht="15.75" customHeight="1" s="44"/>
    <row r="675" ht="15.75" customHeight="1" s="44"/>
    <row r="676" ht="15.75" customHeight="1" s="44"/>
    <row r="677" ht="15.75" customHeight="1" s="44"/>
    <row r="678" ht="15.75" customHeight="1" s="44"/>
    <row r="679" ht="15.75" customHeight="1" s="44"/>
    <row r="680" ht="15.75" customHeight="1" s="44"/>
    <row r="681" ht="15.75" customHeight="1" s="44"/>
    <row r="682" ht="15.75" customHeight="1" s="44"/>
    <row r="683" ht="15.75" customHeight="1" s="44"/>
    <row r="684" ht="15.75" customHeight="1" s="44"/>
    <row r="685" ht="15.75" customHeight="1" s="44"/>
    <row r="686" ht="15.75" customHeight="1" s="44"/>
    <row r="687" ht="15.75" customHeight="1" s="44"/>
    <row r="688" ht="15.75" customHeight="1" s="44"/>
    <row r="689" ht="15.75" customHeight="1" s="44"/>
    <row r="690" ht="15.75" customHeight="1" s="44"/>
    <row r="691" ht="15.75" customHeight="1" s="44"/>
    <row r="692" ht="15.75" customHeight="1" s="44"/>
    <row r="693" ht="15.75" customHeight="1" s="44"/>
    <row r="694" ht="15.75" customHeight="1" s="44"/>
    <row r="695" ht="15.75" customHeight="1" s="44"/>
    <row r="696" ht="15.75" customHeight="1" s="44"/>
    <row r="697" ht="15.75" customHeight="1" s="44"/>
    <row r="698" ht="15.75" customHeight="1" s="44"/>
    <row r="699" ht="15.75" customHeight="1" s="44"/>
    <row r="700" ht="15.75" customHeight="1" s="44"/>
    <row r="701" ht="15.75" customHeight="1" s="44"/>
    <row r="702" ht="15.75" customHeight="1" s="44"/>
    <row r="703" ht="15.75" customHeight="1" s="44"/>
    <row r="704" ht="15.75" customHeight="1" s="44"/>
    <row r="705" ht="15.75" customHeight="1" s="44"/>
    <row r="706" ht="15.75" customHeight="1" s="44"/>
    <row r="707" ht="15.75" customHeight="1" s="44"/>
    <row r="708" ht="15.75" customHeight="1" s="44"/>
    <row r="709" ht="15.75" customHeight="1" s="44"/>
    <row r="710" ht="15.75" customHeight="1" s="44"/>
    <row r="711" ht="15.75" customHeight="1" s="44"/>
    <row r="712" ht="15.75" customHeight="1" s="44"/>
    <row r="713" ht="15.75" customHeight="1" s="44"/>
    <row r="714" ht="15.75" customHeight="1" s="44"/>
    <row r="715" ht="15.75" customHeight="1" s="44"/>
    <row r="716" ht="15.75" customHeight="1" s="44"/>
    <row r="717" ht="15.75" customHeight="1" s="44"/>
    <row r="718" ht="15.75" customHeight="1" s="44"/>
    <row r="719" ht="15.75" customHeight="1" s="44"/>
    <row r="720" ht="15.75" customHeight="1" s="44"/>
    <row r="721" ht="15.75" customHeight="1" s="44"/>
    <row r="722" ht="15.75" customHeight="1" s="44"/>
    <row r="723" ht="15.75" customHeight="1" s="44"/>
    <row r="724" ht="15.75" customHeight="1" s="44"/>
    <row r="725" ht="15.75" customHeight="1" s="44"/>
    <row r="726" ht="15.75" customHeight="1" s="44"/>
    <row r="727" ht="15.75" customHeight="1" s="44"/>
    <row r="728" ht="15.75" customHeight="1" s="44"/>
    <row r="729" ht="15.75" customHeight="1" s="44"/>
    <row r="730" ht="15.75" customHeight="1" s="44"/>
    <row r="731" ht="15.75" customHeight="1" s="44"/>
    <row r="732" ht="15.75" customHeight="1" s="44"/>
    <row r="733" ht="15.75" customHeight="1" s="44"/>
    <row r="734" ht="15.75" customHeight="1" s="44"/>
    <row r="735" ht="15.75" customHeight="1" s="44"/>
    <row r="736" ht="15.75" customHeight="1" s="44"/>
    <row r="737" ht="15.75" customHeight="1" s="44"/>
    <row r="738" ht="15.75" customHeight="1" s="44"/>
    <row r="739" ht="15.75" customHeight="1" s="44"/>
    <row r="740" ht="15.75" customHeight="1" s="44"/>
    <row r="741" ht="15.75" customHeight="1" s="44"/>
    <row r="742" ht="15.75" customHeight="1" s="44"/>
    <row r="743" ht="15.75" customHeight="1" s="44"/>
    <row r="744" ht="15.75" customHeight="1" s="44"/>
    <row r="745" ht="15.75" customHeight="1" s="44"/>
    <row r="746" ht="15.75" customHeight="1" s="44"/>
    <row r="747" ht="15.75" customHeight="1" s="44"/>
    <row r="748" ht="15.75" customHeight="1" s="44"/>
    <row r="749" ht="15.75" customHeight="1" s="44"/>
    <row r="750" ht="15.75" customHeight="1" s="44"/>
    <row r="751" ht="15.75" customHeight="1" s="44"/>
    <row r="752" ht="15.75" customHeight="1" s="44"/>
    <row r="753" ht="15.75" customHeight="1" s="44"/>
    <row r="754" ht="15.75" customHeight="1" s="44"/>
    <row r="755" ht="15.75" customHeight="1" s="44"/>
    <row r="756" ht="15.75" customHeight="1" s="44"/>
    <row r="757" ht="15.75" customHeight="1" s="44"/>
    <row r="758" ht="15.75" customHeight="1" s="44"/>
    <row r="759" ht="15.75" customHeight="1" s="44"/>
    <row r="760" ht="15.75" customHeight="1" s="44"/>
    <row r="761" ht="15.75" customHeight="1" s="44"/>
    <row r="762" ht="15.75" customHeight="1" s="44"/>
    <row r="763" ht="15.75" customHeight="1" s="44"/>
    <row r="764" ht="15.75" customHeight="1" s="44"/>
    <row r="765" ht="15.75" customHeight="1" s="44"/>
    <row r="766" ht="15.75" customHeight="1" s="44"/>
    <row r="767" ht="15.75" customHeight="1" s="44"/>
    <row r="768" ht="15.75" customHeight="1" s="44"/>
    <row r="769" ht="15.75" customHeight="1" s="44"/>
    <row r="770" ht="15.75" customHeight="1" s="44"/>
    <row r="771" ht="15.75" customHeight="1" s="44"/>
    <row r="772" ht="15.75" customHeight="1" s="44"/>
    <row r="773" ht="15.75" customHeight="1" s="44"/>
    <row r="774" ht="15.75" customHeight="1" s="44"/>
    <row r="775" ht="15.75" customHeight="1" s="44"/>
    <row r="776" ht="15.75" customHeight="1" s="44"/>
    <row r="777" ht="15.75" customHeight="1" s="44"/>
    <row r="778" ht="15.75" customHeight="1" s="44"/>
    <row r="779" ht="15.75" customHeight="1" s="44"/>
    <row r="780" ht="15.75" customHeight="1" s="44"/>
    <row r="781" ht="15.75" customHeight="1" s="44"/>
    <row r="782" ht="15.75" customHeight="1" s="44"/>
    <row r="783" ht="15.75" customHeight="1" s="44"/>
    <row r="784" ht="15.75" customHeight="1" s="44"/>
    <row r="785" ht="15.75" customHeight="1" s="44"/>
    <row r="786" ht="15.75" customHeight="1" s="44"/>
    <row r="787" ht="15.75" customHeight="1" s="44"/>
    <row r="788" ht="15.75" customHeight="1" s="44"/>
    <row r="789" ht="15.75" customHeight="1" s="44"/>
    <row r="790" ht="15.75" customHeight="1" s="44"/>
    <row r="791" ht="15.75" customHeight="1" s="44"/>
    <row r="792" ht="15.75" customHeight="1" s="44"/>
    <row r="793" ht="15.75" customHeight="1" s="44"/>
    <row r="794" ht="15.75" customHeight="1" s="44"/>
    <row r="795" ht="15.75" customHeight="1" s="44"/>
    <row r="796" ht="15.75" customHeight="1" s="44"/>
    <row r="797" ht="15.75" customHeight="1" s="44"/>
    <row r="798" ht="15.75" customHeight="1" s="44"/>
    <row r="799" ht="15.75" customHeight="1" s="44"/>
    <row r="800" ht="15.75" customHeight="1" s="44"/>
    <row r="801" ht="15.75" customHeight="1" s="44"/>
    <row r="802" ht="15.75" customHeight="1" s="44"/>
    <row r="803" ht="15.75" customHeight="1" s="44"/>
    <row r="804" ht="15.75" customHeight="1" s="44"/>
    <row r="805" ht="15.75" customHeight="1" s="44"/>
    <row r="806" ht="15.75" customHeight="1" s="44"/>
    <row r="807" ht="15.75" customHeight="1" s="44"/>
    <row r="808" ht="15.75" customHeight="1" s="44"/>
    <row r="809" ht="15.75" customHeight="1" s="44"/>
    <row r="810" ht="15.75" customHeight="1" s="44"/>
    <row r="811" ht="15.75" customHeight="1" s="44"/>
    <row r="812" ht="15.75" customHeight="1" s="44"/>
    <row r="813" ht="15.75" customHeight="1" s="44"/>
    <row r="814" ht="15.75" customHeight="1" s="44"/>
    <row r="815" ht="15.75" customHeight="1" s="44"/>
    <row r="816" ht="15.75" customHeight="1" s="44"/>
    <row r="817" ht="15.75" customHeight="1" s="44"/>
    <row r="818" ht="15.75" customHeight="1" s="44"/>
    <row r="819" ht="15.75" customHeight="1" s="44"/>
    <row r="820" ht="15.75" customHeight="1" s="44"/>
    <row r="821" ht="15.75" customHeight="1" s="44"/>
    <row r="822" ht="15.75" customHeight="1" s="44"/>
    <row r="823" ht="15.75" customHeight="1" s="44"/>
    <row r="824" ht="15.75" customHeight="1" s="44"/>
    <row r="825" ht="15.75" customHeight="1" s="44"/>
    <row r="826" ht="15.75" customHeight="1" s="44"/>
    <row r="827" ht="15.75" customHeight="1" s="44"/>
    <row r="828" ht="15.75" customHeight="1" s="44"/>
    <row r="829" ht="15.75" customHeight="1" s="44"/>
    <row r="830" ht="15.75" customHeight="1" s="44"/>
    <row r="831" ht="15.75" customHeight="1" s="44"/>
    <row r="832" ht="15.75" customHeight="1" s="44"/>
    <row r="833" ht="15.75" customHeight="1" s="44"/>
    <row r="834" ht="15.75" customHeight="1" s="44"/>
    <row r="835" ht="15.75" customHeight="1" s="44"/>
    <row r="836" ht="15.75" customHeight="1" s="44"/>
    <row r="837" ht="15.75" customHeight="1" s="44"/>
    <row r="838" ht="15.75" customHeight="1" s="44"/>
    <row r="839" ht="15.75" customHeight="1" s="44"/>
    <row r="840" ht="15.75" customHeight="1" s="44"/>
    <row r="841" ht="15.75" customHeight="1" s="44"/>
    <row r="842" ht="15.75" customHeight="1" s="44"/>
    <row r="843" ht="15.75" customHeight="1" s="44"/>
    <row r="844" ht="15.75" customHeight="1" s="44"/>
    <row r="845" ht="15.75" customHeight="1" s="44"/>
    <row r="846" ht="15.75" customHeight="1" s="44"/>
    <row r="847" ht="15.75" customHeight="1" s="44"/>
    <row r="848" ht="15.75" customHeight="1" s="44"/>
    <row r="849" ht="15.75" customHeight="1" s="44"/>
    <row r="850" ht="15.75" customHeight="1" s="44"/>
    <row r="851" ht="15.75" customHeight="1" s="44"/>
    <row r="852" ht="15.75" customHeight="1" s="44"/>
    <row r="853" ht="15.75" customHeight="1" s="44"/>
    <row r="854" ht="15.75" customHeight="1" s="44"/>
    <row r="855" ht="15.75" customHeight="1" s="44"/>
    <row r="856" ht="15.75" customHeight="1" s="44"/>
    <row r="857" ht="15.75" customHeight="1" s="44"/>
    <row r="858" ht="15.75" customHeight="1" s="44"/>
    <row r="859" ht="15.75" customHeight="1" s="44"/>
    <row r="860" ht="15.75" customHeight="1" s="44"/>
    <row r="861" ht="15.75" customHeight="1" s="44"/>
    <row r="862" ht="15.75" customHeight="1" s="44"/>
    <row r="863" ht="15.75" customHeight="1" s="44"/>
    <row r="864" ht="15.75" customHeight="1" s="44"/>
    <row r="865" ht="15.75" customHeight="1" s="44"/>
    <row r="866" ht="15.75" customHeight="1" s="44"/>
    <row r="867" ht="15.75" customHeight="1" s="44"/>
    <row r="868" ht="15.75" customHeight="1" s="44"/>
    <row r="869" ht="15.75" customHeight="1" s="44"/>
    <row r="870" ht="15.75" customHeight="1" s="44"/>
    <row r="871" ht="15.75" customHeight="1" s="44"/>
    <row r="872" ht="15.75" customHeight="1" s="44"/>
    <row r="873" ht="15.75" customHeight="1" s="44"/>
    <row r="874" ht="15.75" customHeight="1" s="44"/>
    <row r="875" ht="15.75" customHeight="1" s="44"/>
    <row r="876" ht="15.75" customHeight="1" s="44"/>
    <row r="877" ht="15.75" customHeight="1" s="44"/>
    <row r="878" ht="15.75" customHeight="1" s="44"/>
    <row r="879" ht="15.75" customHeight="1" s="44"/>
    <row r="880" ht="15.75" customHeight="1" s="44"/>
    <row r="881" ht="15.75" customHeight="1" s="44"/>
    <row r="882" ht="15.75" customHeight="1" s="44"/>
    <row r="883" ht="15.75" customHeight="1" s="44"/>
    <row r="884" ht="15.75" customHeight="1" s="44"/>
    <row r="885" ht="15.75" customHeight="1" s="44"/>
    <row r="886" ht="15.75" customHeight="1" s="44"/>
    <row r="887" ht="15.75" customHeight="1" s="44"/>
    <row r="888" ht="15.75" customHeight="1" s="44"/>
    <row r="889" ht="15.75" customHeight="1" s="44"/>
    <row r="890" ht="15.75" customHeight="1" s="44"/>
    <row r="891" ht="15.75" customHeight="1" s="44"/>
    <row r="892" ht="15.75" customHeight="1" s="44"/>
    <row r="893" ht="15.75" customHeight="1" s="44"/>
    <row r="894" ht="15.75" customHeight="1" s="44"/>
    <row r="895" ht="15.75" customHeight="1" s="44"/>
    <row r="896" ht="15.75" customHeight="1" s="44"/>
    <row r="897" ht="15.75" customHeight="1" s="44"/>
    <row r="898" ht="15.75" customHeight="1" s="44"/>
    <row r="899" ht="15.75" customHeight="1" s="44"/>
    <row r="900" ht="15.75" customHeight="1" s="44"/>
    <row r="901" ht="15.75" customHeight="1" s="44"/>
    <row r="902" ht="15.75" customHeight="1" s="44"/>
    <row r="903" ht="15.75" customHeight="1" s="44"/>
    <row r="904" ht="15.75" customHeight="1" s="44"/>
    <row r="905" ht="15.75" customHeight="1" s="44"/>
    <row r="906" ht="15.75" customHeight="1" s="44"/>
    <row r="907" ht="15.75" customHeight="1" s="44"/>
    <row r="908" ht="15.75" customHeight="1" s="44"/>
    <row r="909" ht="15.75" customHeight="1" s="44"/>
    <row r="910" ht="15.75" customHeight="1" s="44"/>
    <row r="911" ht="15.75" customHeight="1" s="44"/>
    <row r="912" ht="15.75" customHeight="1" s="44"/>
    <row r="913" ht="15.75" customHeight="1" s="44"/>
    <row r="914" ht="15.75" customHeight="1" s="44"/>
    <row r="915" ht="15.75" customHeight="1" s="44"/>
    <row r="916" ht="15.75" customHeight="1" s="44"/>
    <row r="917" ht="15.75" customHeight="1" s="44"/>
    <row r="918" ht="15.75" customHeight="1" s="44"/>
    <row r="919" ht="15.75" customHeight="1" s="44"/>
    <row r="920" ht="15.75" customHeight="1" s="44"/>
    <row r="921" ht="15.75" customHeight="1" s="44"/>
    <row r="922" ht="15.75" customHeight="1" s="44"/>
    <row r="923" ht="15.75" customHeight="1" s="44"/>
    <row r="924" ht="15.75" customHeight="1" s="44"/>
    <row r="925" ht="15.75" customHeight="1" s="44"/>
    <row r="926" ht="15.75" customHeight="1" s="44"/>
    <row r="927" ht="15.75" customHeight="1" s="44"/>
    <row r="928" ht="15.75" customHeight="1" s="44"/>
    <row r="929" ht="15.75" customHeight="1" s="44"/>
    <row r="930" ht="15.75" customHeight="1" s="44"/>
    <row r="931" ht="15.75" customHeight="1" s="44"/>
    <row r="932" ht="15.75" customHeight="1" s="44"/>
    <row r="933" ht="15.75" customHeight="1" s="44"/>
    <row r="934" ht="15.75" customHeight="1" s="44"/>
    <row r="935" ht="15.75" customHeight="1" s="44"/>
    <row r="936" ht="15.75" customHeight="1" s="44"/>
    <row r="937" ht="15.75" customHeight="1" s="44"/>
    <row r="938" ht="15.75" customHeight="1" s="44"/>
    <row r="939" ht="15.75" customHeight="1" s="44"/>
    <row r="940" ht="15.75" customHeight="1" s="44"/>
    <row r="941" ht="15.75" customHeight="1" s="44"/>
    <row r="942" ht="15.75" customHeight="1" s="44"/>
    <row r="943" ht="15.75" customHeight="1" s="44"/>
    <row r="944" ht="15.75" customHeight="1" s="44"/>
    <row r="945" ht="15.75" customHeight="1" s="44"/>
    <row r="946" ht="15.75" customHeight="1" s="44"/>
    <row r="947" ht="15.75" customHeight="1" s="44"/>
    <row r="948" ht="15.75" customHeight="1" s="44"/>
    <row r="949" ht="15.75" customHeight="1" s="44"/>
    <row r="950" ht="15.75" customHeight="1" s="44"/>
    <row r="951" ht="15.75" customHeight="1" s="44"/>
    <row r="952" ht="15.75" customHeight="1" s="44"/>
    <row r="953" ht="15.75" customHeight="1" s="44"/>
    <row r="954" ht="15.75" customHeight="1" s="44"/>
    <row r="955" ht="15.75" customHeight="1" s="44"/>
    <row r="956" ht="15.75" customHeight="1" s="44"/>
    <row r="957" ht="15.75" customHeight="1" s="44"/>
    <row r="958" ht="15.75" customHeight="1" s="44"/>
    <row r="959" ht="15.75" customHeight="1" s="44"/>
    <row r="960" ht="15.75" customHeight="1" s="44"/>
    <row r="961" ht="15.75" customHeight="1" s="44"/>
    <row r="962" ht="15.75" customHeight="1" s="44"/>
    <row r="963" ht="15.75" customHeight="1" s="44"/>
    <row r="964" ht="15.75" customHeight="1" s="44"/>
    <row r="965" ht="15.75" customHeight="1" s="44"/>
    <row r="966" ht="15.75" customHeight="1" s="44"/>
    <row r="967" ht="15.75" customHeight="1" s="44"/>
    <row r="968" ht="15.75" customHeight="1" s="44"/>
    <row r="969" ht="15.75" customHeight="1" s="44"/>
    <row r="970" ht="15.75" customHeight="1" s="44"/>
    <row r="971" ht="15.75" customHeight="1" s="44"/>
    <row r="972" ht="15.75" customHeight="1" s="44"/>
    <row r="973" ht="15.75" customHeight="1" s="44"/>
    <row r="974" ht="15.75" customHeight="1" s="44"/>
    <row r="975" ht="15.75" customHeight="1" s="44"/>
    <row r="976" ht="15.75" customHeight="1" s="44"/>
    <row r="977" ht="15.75" customHeight="1" s="44"/>
    <row r="978" ht="15.75" customHeight="1" s="44"/>
    <row r="979" ht="15.75" customHeight="1" s="44"/>
    <row r="980" ht="15.75" customHeight="1" s="44"/>
    <row r="981" ht="15.75" customHeight="1" s="44"/>
    <row r="982" ht="15.75" customHeight="1" s="44"/>
    <row r="983" ht="15.75" customHeight="1" s="44"/>
    <row r="984" ht="15.75" customHeight="1" s="44"/>
    <row r="985" ht="15.75" customHeight="1" s="44"/>
    <row r="986" ht="15.75" customHeight="1" s="44"/>
    <row r="987" ht="15.75" customHeight="1" s="44"/>
    <row r="988" ht="15.75" customHeight="1" s="44"/>
    <row r="989" ht="15.75" customHeight="1" s="44"/>
    <row r="990" ht="15.75" customHeight="1" s="44"/>
    <row r="991" ht="15.75" customHeight="1" s="44"/>
    <row r="992" ht="15.75" customHeight="1" s="44"/>
    <row r="993" ht="15.75" customHeight="1" s="44"/>
    <row r="994" ht="15.75" customHeight="1" s="44"/>
    <row r="995" ht="15.75" customHeight="1" s="44"/>
    <row r="996" ht="15.75" customHeight="1" s="44"/>
    <row r="997" ht="15.75" customHeight="1" s="44"/>
    <row r="998" ht="15.75" customHeight="1" s="44"/>
    <row r="999" ht="15.75" customHeight="1" s="44"/>
    <row r="1000" ht="15.75" customHeight="1" s="44"/>
  </sheetData>
  <mergeCells count="1">
    <mergeCell ref="A1:Y1"/>
  </mergeCells>
  <pageMargins left="0.75" right="0.75" top="1" bottom="1" header="0" footer="0"/>
  <pageSetup orientation="landscape"/>
</worksheet>
</file>

<file path=xl/worksheets/sheet4.xml><?xml version="1.0" encoding="utf-8"?>
<worksheet xmlns="http://schemas.openxmlformats.org/spreadsheetml/2006/main">
  <sheetPr>
    <tabColor rgb="FF556B2F"/>
    <outlinePr summaryBelow="1" summaryRight="1"/>
    <pageSetUpPr/>
  </sheetPr>
  <dimension ref="A1:A25"/>
  <sheetViews>
    <sheetView workbookViewId="0">
      <selection activeCell="A1" sqref="A1"/>
    </sheetView>
  </sheetViews>
  <sheetFormatPr baseColWidth="8" defaultColWidth="14.43" defaultRowHeight="15" customHeight="1"/>
  <cols>
    <col width="110" customWidth="1" style="44" min="1" max="1"/>
    <col width="8.710000000000001" customWidth="1" style="44" min="2" max="26"/>
  </cols>
  <sheetData>
    <row r="1" ht="31.5" customHeight="1" s="44">
      <c r="A1" s="1" t="inlineStr">
        <is>
          <t>How to use this calculator</t>
        </is>
      </c>
    </row>
    <row r="2"/>
    <row r="3">
      <c r="A3" s="3" t="inlineStr">
        <is>
          <t>1. Enter your debts</t>
        </is>
      </c>
    </row>
    <row r="4" ht="43.5" customHeight="1" s="44">
      <c r="A4" s="5" t="inlineStr">
        <is>
          <t>On the My Debts tab, fill in the cream-colored cells: name, type, balance, rate (enter it as 24.99%), and minimum payment. Delete the example rows and enter your real data.</t>
        </is>
      </c>
    </row>
    <row r="5"/>
    <row r="6">
      <c r="A6" s="3" t="inlineStr">
        <is>
          <t>2. Set your extra payment</t>
        </is>
      </c>
    </row>
    <row r="7" ht="43.5" customHeight="1" s="44">
      <c r="A7" s="5" t="inlineStr">
        <is>
          <t>In the SUMMARY, adjust the Extra monthly payment: it's the additional money you can pay each month on top of the minimums. The higher it is, the faster you get out.</t>
        </is>
      </c>
    </row>
    <row r="8"/>
    <row r="9">
      <c r="A9" s="3" t="inlineStr">
        <is>
          <t>3. Review your summary</t>
        </is>
      </c>
    </row>
    <row r="10" ht="43.5" customHeight="1" s="44">
      <c r="A10" s="5" t="inlineStr">
        <is>
          <t>Above you'll see your total debt, monthly payment, estimated months to reach zero, total interest, and the estimated date you'll be debt-free.</t>
        </is>
      </c>
    </row>
    <row r="11"/>
    <row r="12">
      <c r="A12" s="3" t="inlineStr">
        <is>
          <t>4. Follow your plan</t>
        </is>
      </c>
    </row>
    <row r="13" ht="43.5" customHeight="1" s="44">
      <c r="A13" s="5" t="inlineStr">
        <is>
          <t>In Snowball Plan you'll see your debts ordered from smallest to largest balance. Attack #1 with the minimum + all your extra. The rest, minimum only.</t>
        </is>
      </c>
    </row>
    <row r="14"/>
    <row r="15">
      <c r="A15" s="3" t="inlineStr">
        <is>
          <t>5. Watch the schedule</t>
        </is>
      </c>
    </row>
    <row r="16" ht="43.5" customHeight="1" s="44">
      <c r="A16" s="5" t="inlineStr">
        <is>
          <t>In Payment Schedule you'll see month by month how each debt drops to zero. Timelines are estimates: they assume on-time payments and no new charges.</t>
        </is>
      </c>
    </row>
    <row r="17"/>
    <row r="18">
      <c r="A18" s="3" t="inlineStr">
        <is>
          <t>6. Compare consolidation</t>
        </is>
      </c>
    </row>
    <row r="19" ht="43.5" customHeight="1" s="44">
      <c r="A19" s="5" t="inlineStr">
        <is>
          <t>In the CONSOLIDATION section, enter the rate and term a loan would offer you. The template tells you whether consolidating saves you interest versus the snowball.</t>
        </is>
      </c>
    </row>
    <row r="20"/>
    <row r="21" ht="15.75" customHeight="1" s="44">
      <c r="A21" s="3" t="inlineStr">
        <is>
          <t>The snowball method</t>
        </is>
      </c>
    </row>
    <row r="22" ht="43.5" customHeight="1" s="44">
      <c r="A22" s="5" t="inlineStr">
        <is>
          <t>Ordering from smallest to largest balance (not by rate) gives you quick wins: paying off the first debt soon keeps you motivated to continue. Pure math sometimes prefers paying the highest rate first (avalanche method), but the snowball wins on consistency.</t>
        </is>
      </c>
    </row>
    <row r="23" ht="15.75" customHeight="1" s="44"/>
    <row r="24" ht="15.75" customHeight="1" s="44">
      <c r="A24" s="3" t="inlineStr">
        <is>
          <t>Important notice</t>
        </is>
      </c>
    </row>
    <row r="25" ht="43.5" customHeight="1" s="44">
      <c r="A25" s="5" t="inlineStr">
        <is>
          <t>Informational content; not professional financial advice. Calculations are estimates for educational purposes.</t>
        </is>
      </c>
    </row>
    <row r="26" ht="15.75" customHeight="1" s="44"/>
    <row r="27" ht="15.75" customHeight="1" s="44"/>
    <row r="28" ht="15.75" customHeight="1" s="44"/>
    <row r="29" ht="15.75" customHeight="1" s="44"/>
    <row r="30" ht="15.75" customHeight="1" s="44"/>
    <row r="31" ht="15.75" customHeight="1" s="44"/>
    <row r="32" ht="15.75" customHeight="1" s="44"/>
    <row r="33" ht="15.75" customHeight="1" s="44"/>
    <row r="34" ht="15.75" customHeight="1" s="44"/>
    <row r="35" ht="15.75" customHeight="1" s="44"/>
    <row r="36" ht="15.75" customHeight="1" s="44"/>
    <row r="37" ht="15.75" customHeight="1" s="44"/>
    <row r="38" ht="15.75" customHeight="1" s="44"/>
    <row r="39" ht="15.75" customHeight="1" s="44"/>
    <row r="40" ht="15.75" customHeight="1" s="44"/>
    <row r="41" ht="15.75" customHeight="1" s="44"/>
    <row r="42" ht="15.75" customHeight="1" s="44"/>
    <row r="43" ht="15.75" customHeight="1" s="44"/>
    <row r="44" ht="15.75" customHeight="1" s="44"/>
    <row r="45" ht="15.75" customHeight="1" s="44"/>
    <row r="46" ht="15.75" customHeight="1" s="44"/>
    <row r="47" ht="15.75" customHeight="1" s="44"/>
    <row r="48" ht="15.75" customHeight="1" s="44"/>
    <row r="49" ht="15.75" customHeight="1" s="44"/>
    <row r="50" ht="15.75" customHeight="1" s="44"/>
    <row r="51" ht="15.75" customHeight="1" s="44"/>
    <row r="52" ht="15.75" customHeight="1" s="44"/>
    <row r="53" ht="15.75" customHeight="1" s="44"/>
    <row r="54" ht="15.75" customHeight="1" s="44"/>
    <row r="55" ht="15.75" customHeight="1" s="44"/>
    <row r="56" ht="15.75" customHeight="1" s="44"/>
    <row r="57" ht="15.75" customHeight="1" s="44"/>
    <row r="58" ht="15.75" customHeight="1" s="44"/>
    <row r="59" ht="15.75" customHeight="1" s="44"/>
    <row r="60" ht="15.75" customHeight="1" s="44"/>
    <row r="61" ht="15.75" customHeight="1" s="44"/>
    <row r="62" ht="15.75" customHeight="1" s="44"/>
    <row r="63" ht="15.75" customHeight="1" s="44"/>
    <row r="64" ht="15.75" customHeight="1" s="44"/>
    <row r="65" ht="15.75" customHeight="1" s="44"/>
    <row r="66" ht="15.75" customHeight="1" s="44"/>
    <row r="67" ht="15.75" customHeight="1" s="44"/>
    <row r="68" ht="15.75" customHeight="1" s="44"/>
    <row r="69" ht="15.75" customHeight="1" s="44"/>
    <row r="70" ht="15.75" customHeight="1" s="44"/>
    <row r="71" ht="15.75" customHeight="1" s="44"/>
    <row r="72" ht="15.75" customHeight="1" s="44"/>
    <row r="73" ht="15.75" customHeight="1" s="44"/>
    <row r="74" ht="15.75" customHeight="1" s="44"/>
    <row r="75" ht="15.75" customHeight="1" s="44"/>
    <row r="76" ht="15.75" customHeight="1" s="44"/>
    <row r="77" ht="15.75" customHeight="1" s="44"/>
    <row r="78" ht="15.75" customHeight="1" s="44"/>
    <row r="79" ht="15.75" customHeight="1" s="44"/>
    <row r="80" ht="15.75" customHeight="1" s="44"/>
    <row r="81" ht="15.75" customHeight="1" s="44"/>
    <row r="82" ht="15.75" customHeight="1" s="44"/>
    <row r="83" ht="15.75" customHeight="1" s="44"/>
    <row r="84" ht="15.75" customHeight="1" s="44"/>
    <row r="85" ht="15.75" customHeight="1" s="44"/>
    <row r="86" ht="15.75" customHeight="1" s="44"/>
    <row r="87" ht="15.75" customHeight="1" s="44"/>
    <row r="88" ht="15.75" customHeight="1" s="44"/>
    <row r="89" ht="15.75" customHeight="1" s="44"/>
    <row r="90" ht="15.75" customHeight="1" s="44"/>
    <row r="91" ht="15.75" customHeight="1" s="44"/>
    <row r="92" ht="15.75" customHeight="1" s="44"/>
    <row r="93" ht="15.75" customHeight="1" s="44"/>
    <row r="94" ht="15.75" customHeight="1" s="44"/>
    <row r="95" ht="15.75" customHeight="1" s="44"/>
    <row r="96" ht="15.75" customHeight="1" s="44"/>
    <row r="97" ht="15.75" customHeight="1" s="44"/>
    <row r="98" ht="15.75" customHeight="1" s="44"/>
    <row r="99" ht="15.75" customHeight="1" s="44"/>
    <row r="100" ht="15.75" customHeight="1" s="44"/>
    <row r="101" ht="15.75" customHeight="1" s="44"/>
    <row r="102" ht="15.75" customHeight="1" s="44"/>
    <row r="103" ht="15.75" customHeight="1" s="44"/>
    <row r="104" ht="15.75" customHeight="1" s="44"/>
    <row r="105" ht="15.75" customHeight="1" s="44"/>
    <row r="106" ht="15.75" customHeight="1" s="44"/>
    <row r="107" ht="15.75" customHeight="1" s="44"/>
    <row r="108" ht="15.75" customHeight="1" s="44"/>
    <row r="109" ht="15.75" customHeight="1" s="44"/>
    <row r="110" ht="15.75" customHeight="1" s="44"/>
    <row r="111" ht="15.75" customHeight="1" s="44"/>
    <row r="112" ht="15.75" customHeight="1" s="44"/>
    <row r="113" ht="15.75" customHeight="1" s="44"/>
    <row r="114" ht="15.75" customHeight="1" s="44"/>
    <row r="115" ht="15.75" customHeight="1" s="44"/>
    <row r="116" ht="15.75" customHeight="1" s="44"/>
    <row r="117" ht="15.75" customHeight="1" s="44"/>
    <row r="118" ht="15.75" customHeight="1" s="44"/>
    <row r="119" ht="15.75" customHeight="1" s="44"/>
    <row r="120" ht="15.75" customHeight="1" s="44"/>
    <row r="121" ht="15.75" customHeight="1" s="44"/>
    <row r="122" ht="15.75" customHeight="1" s="44"/>
    <row r="123" ht="15.75" customHeight="1" s="44"/>
    <row r="124" ht="15.75" customHeight="1" s="44"/>
    <row r="125" ht="15.75" customHeight="1" s="44"/>
    <row r="126" ht="15.75" customHeight="1" s="44"/>
    <row r="127" ht="15.75" customHeight="1" s="44"/>
    <row r="128" ht="15.75" customHeight="1" s="44"/>
    <row r="129" ht="15.75" customHeight="1" s="44"/>
    <row r="130" ht="15.75" customHeight="1" s="44"/>
    <row r="131" ht="15.75" customHeight="1" s="44"/>
    <row r="132" ht="15.75" customHeight="1" s="44"/>
    <row r="133" ht="15.75" customHeight="1" s="44"/>
    <row r="134" ht="15.75" customHeight="1" s="44"/>
    <row r="135" ht="15.75" customHeight="1" s="44"/>
    <row r="136" ht="15.75" customHeight="1" s="44"/>
    <row r="137" ht="15.75" customHeight="1" s="44"/>
    <row r="138" ht="15.75" customHeight="1" s="44"/>
    <row r="139" ht="15.75" customHeight="1" s="44"/>
    <row r="140" ht="15.75" customHeight="1" s="44"/>
    <row r="141" ht="15.75" customHeight="1" s="44"/>
    <row r="142" ht="15.75" customHeight="1" s="44"/>
    <row r="143" ht="15.75" customHeight="1" s="44"/>
    <row r="144" ht="15.75" customHeight="1" s="44"/>
    <row r="145" ht="15.75" customHeight="1" s="44"/>
    <row r="146" ht="15.75" customHeight="1" s="44"/>
    <row r="147" ht="15.75" customHeight="1" s="44"/>
    <row r="148" ht="15.75" customHeight="1" s="44"/>
    <row r="149" ht="15.75" customHeight="1" s="44"/>
    <row r="150" ht="15.75" customHeight="1" s="44"/>
    <row r="151" ht="15.75" customHeight="1" s="44"/>
    <row r="152" ht="15.75" customHeight="1" s="44"/>
    <row r="153" ht="15.75" customHeight="1" s="44"/>
    <row r="154" ht="15.75" customHeight="1" s="44"/>
    <row r="155" ht="15.75" customHeight="1" s="44"/>
    <row r="156" ht="15.75" customHeight="1" s="44"/>
    <row r="157" ht="15.75" customHeight="1" s="44"/>
    <row r="158" ht="15.75" customHeight="1" s="44"/>
    <row r="159" ht="15.75" customHeight="1" s="44"/>
    <row r="160" ht="15.75" customHeight="1" s="44"/>
    <row r="161" ht="15.75" customHeight="1" s="44"/>
    <row r="162" ht="15.75" customHeight="1" s="44"/>
    <row r="163" ht="15.75" customHeight="1" s="44"/>
    <row r="164" ht="15.75" customHeight="1" s="44"/>
    <row r="165" ht="15.75" customHeight="1" s="44"/>
    <row r="166" ht="15.75" customHeight="1" s="44"/>
    <row r="167" ht="15.75" customHeight="1" s="44"/>
    <row r="168" ht="15.75" customHeight="1" s="44"/>
    <row r="169" ht="15.75" customHeight="1" s="44"/>
    <row r="170" ht="15.75" customHeight="1" s="44"/>
    <row r="171" ht="15.75" customHeight="1" s="44"/>
    <row r="172" ht="15.75" customHeight="1" s="44"/>
    <row r="173" ht="15.75" customHeight="1" s="44"/>
    <row r="174" ht="15.75" customHeight="1" s="44"/>
    <row r="175" ht="15.75" customHeight="1" s="44"/>
    <row r="176" ht="15.75" customHeight="1" s="44"/>
    <row r="177" ht="15.75" customHeight="1" s="44"/>
    <row r="178" ht="15.75" customHeight="1" s="44"/>
    <row r="179" ht="15.75" customHeight="1" s="44"/>
    <row r="180" ht="15.75" customHeight="1" s="44"/>
    <row r="181" ht="15.75" customHeight="1" s="44"/>
    <row r="182" ht="15.75" customHeight="1" s="44"/>
    <row r="183" ht="15.75" customHeight="1" s="44"/>
    <row r="184" ht="15.75" customHeight="1" s="44"/>
    <row r="185" ht="15.75" customHeight="1" s="44"/>
    <row r="186" ht="15.75" customHeight="1" s="44"/>
    <row r="187" ht="15.75" customHeight="1" s="44"/>
    <row r="188" ht="15.75" customHeight="1" s="44"/>
    <row r="189" ht="15.75" customHeight="1" s="44"/>
    <row r="190" ht="15.75" customHeight="1" s="44"/>
    <row r="191" ht="15.75" customHeight="1" s="44"/>
    <row r="192" ht="15.75" customHeight="1" s="44"/>
    <row r="193" ht="15.75" customHeight="1" s="44"/>
    <row r="194" ht="15.75" customHeight="1" s="44"/>
    <row r="195" ht="15.75" customHeight="1" s="44"/>
    <row r="196" ht="15.75" customHeight="1" s="44"/>
    <row r="197" ht="15.75" customHeight="1" s="44"/>
    <row r="198" ht="15.75" customHeight="1" s="44"/>
    <row r="199" ht="15.75" customHeight="1" s="44"/>
    <row r="200" ht="15.75" customHeight="1" s="44"/>
    <row r="201" ht="15.75" customHeight="1" s="44"/>
    <row r="202" ht="15.75" customHeight="1" s="44"/>
    <row r="203" ht="15.75" customHeight="1" s="44"/>
    <row r="204" ht="15.75" customHeight="1" s="44"/>
    <row r="205" ht="15.75" customHeight="1" s="44"/>
    <row r="206" ht="15.75" customHeight="1" s="44"/>
    <row r="207" ht="15.75" customHeight="1" s="44"/>
    <row r="208" ht="15.75" customHeight="1" s="44"/>
    <row r="209" ht="15.75" customHeight="1" s="44"/>
    <row r="210" ht="15.75" customHeight="1" s="44"/>
    <row r="211" ht="15.75" customHeight="1" s="44"/>
    <row r="212" ht="15.75" customHeight="1" s="44"/>
    <row r="213" ht="15.75" customHeight="1" s="44"/>
    <row r="214" ht="15.75" customHeight="1" s="44"/>
    <row r="215" ht="15.75" customHeight="1" s="44"/>
    <row r="216" ht="15.75" customHeight="1" s="44"/>
    <row r="217" ht="15.75" customHeight="1" s="44"/>
    <row r="218" ht="15.75" customHeight="1" s="44"/>
    <row r="219" ht="15.75" customHeight="1" s="44"/>
    <row r="220" ht="15.75" customHeight="1" s="44"/>
    <row r="221" ht="15.75" customHeight="1" s="44"/>
    <row r="222" ht="15.75" customHeight="1" s="44"/>
    <row r="223" ht="15.75" customHeight="1" s="44"/>
    <row r="224" ht="15.75" customHeight="1" s="44"/>
    <row r="225" ht="15.75" customHeight="1" s="44"/>
    <row r="226" ht="15.75" customHeight="1" s="44"/>
    <row r="227" ht="15.75" customHeight="1" s="44"/>
    <row r="228" ht="15.75" customHeight="1" s="44"/>
    <row r="229" ht="15.75" customHeight="1" s="44"/>
    <row r="230" ht="15.75" customHeight="1" s="44"/>
    <row r="231" ht="15.75" customHeight="1" s="44"/>
    <row r="232" ht="15.75" customHeight="1" s="44"/>
    <row r="233" ht="15.75" customHeight="1" s="44"/>
    <row r="234" ht="15.75" customHeight="1" s="44"/>
    <row r="235" ht="15.75" customHeight="1" s="44"/>
    <row r="236" ht="15.75" customHeight="1" s="44"/>
    <row r="237" ht="15.75" customHeight="1" s="44"/>
    <row r="238" ht="15.75" customHeight="1" s="44"/>
    <row r="239" ht="15.75" customHeight="1" s="44"/>
    <row r="240" ht="15.75" customHeight="1" s="44"/>
    <row r="241" ht="15.75" customHeight="1" s="44"/>
    <row r="242" ht="15.75" customHeight="1" s="44"/>
    <row r="243" ht="15.75" customHeight="1" s="44"/>
    <row r="244" ht="15.75" customHeight="1" s="44"/>
    <row r="245" ht="15.75" customHeight="1" s="44"/>
    <row r="246" ht="15.75" customHeight="1" s="44"/>
    <row r="247" ht="15.75" customHeight="1" s="44"/>
    <row r="248" ht="15.75" customHeight="1" s="44"/>
    <row r="249" ht="15.75" customHeight="1" s="44"/>
    <row r="250" ht="15.75" customHeight="1" s="44"/>
    <row r="251" ht="15.75" customHeight="1" s="44"/>
    <row r="252" ht="15.75" customHeight="1" s="44"/>
    <row r="253" ht="15.75" customHeight="1" s="44"/>
    <row r="254" ht="15.75" customHeight="1" s="44"/>
    <row r="255" ht="15.75" customHeight="1" s="44"/>
    <row r="256" ht="15.75" customHeight="1" s="44"/>
    <row r="257" ht="15.75" customHeight="1" s="44"/>
    <row r="258" ht="15.75" customHeight="1" s="44"/>
    <row r="259" ht="15.75" customHeight="1" s="44"/>
    <row r="260" ht="15.75" customHeight="1" s="44"/>
    <row r="261" ht="15.75" customHeight="1" s="44"/>
    <row r="262" ht="15.75" customHeight="1" s="44"/>
    <row r="263" ht="15.75" customHeight="1" s="44"/>
    <row r="264" ht="15.75" customHeight="1" s="44"/>
    <row r="265" ht="15.75" customHeight="1" s="44"/>
    <row r="266" ht="15.75" customHeight="1" s="44"/>
    <row r="267" ht="15.75" customHeight="1" s="44"/>
    <row r="268" ht="15.75" customHeight="1" s="44"/>
    <row r="269" ht="15.75" customHeight="1" s="44"/>
    <row r="270" ht="15.75" customHeight="1" s="44"/>
    <row r="271" ht="15.75" customHeight="1" s="44"/>
    <row r="272" ht="15.75" customHeight="1" s="44"/>
    <row r="273" ht="15.75" customHeight="1" s="44"/>
    <row r="274" ht="15.75" customHeight="1" s="44"/>
    <row r="275" ht="15.75" customHeight="1" s="44"/>
    <row r="276" ht="15.75" customHeight="1" s="44"/>
    <row r="277" ht="15.75" customHeight="1" s="44"/>
    <row r="278" ht="15.75" customHeight="1" s="44"/>
    <row r="279" ht="15.75" customHeight="1" s="44"/>
    <row r="280" ht="15.75" customHeight="1" s="44"/>
    <row r="281" ht="15.75" customHeight="1" s="44"/>
    <row r="282" ht="15.75" customHeight="1" s="44"/>
    <row r="283" ht="15.75" customHeight="1" s="44"/>
    <row r="284" ht="15.75" customHeight="1" s="44"/>
    <row r="285" ht="15.75" customHeight="1" s="44"/>
    <row r="286" ht="15.75" customHeight="1" s="44"/>
    <row r="287" ht="15.75" customHeight="1" s="44"/>
    <row r="288" ht="15.75" customHeight="1" s="44"/>
    <row r="289" ht="15.75" customHeight="1" s="44"/>
    <row r="290" ht="15.75" customHeight="1" s="44"/>
    <row r="291" ht="15.75" customHeight="1" s="44"/>
    <row r="292" ht="15.75" customHeight="1" s="44"/>
    <row r="293" ht="15.75" customHeight="1" s="44"/>
    <row r="294" ht="15.75" customHeight="1" s="44"/>
    <row r="295" ht="15.75" customHeight="1" s="44"/>
    <row r="296" ht="15.75" customHeight="1" s="44"/>
    <row r="297" ht="15.75" customHeight="1" s="44"/>
    <row r="298" ht="15.75" customHeight="1" s="44"/>
    <row r="299" ht="15.75" customHeight="1" s="44"/>
    <row r="300" ht="15.75" customHeight="1" s="44"/>
    <row r="301" ht="15.75" customHeight="1" s="44"/>
    <row r="302" ht="15.75" customHeight="1" s="44"/>
    <row r="303" ht="15.75" customHeight="1" s="44"/>
    <row r="304" ht="15.75" customHeight="1" s="44"/>
    <row r="305" ht="15.75" customHeight="1" s="44"/>
    <row r="306" ht="15.75" customHeight="1" s="44"/>
    <row r="307" ht="15.75" customHeight="1" s="44"/>
    <row r="308" ht="15.75" customHeight="1" s="44"/>
    <row r="309" ht="15.75" customHeight="1" s="44"/>
    <row r="310" ht="15.75" customHeight="1" s="44"/>
    <row r="311" ht="15.75" customHeight="1" s="44"/>
    <row r="312" ht="15.75" customHeight="1" s="44"/>
    <row r="313" ht="15.75" customHeight="1" s="44"/>
    <row r="314" ht="15.75" customHeight="1" s="44"/>
    <row r="315" ht="15.75" customHeight="1" s="44"/>
    <row r="316" ht="15.75" customHeight="1" s="44"/>
    <row r="317" ht="15.75" customHeight="1" s="44"/>
    <row r="318" ht="15.75" customHeight="1" s="44"/>
    <row r="319" ht="15.75" customHeight="1" s="44"/>
    <row r="320" ht="15.75" customHeight="1" s="44"/>
    <row r="321" ht="15.75" customHeight="1" s="44"/>
    <row r="322" ht="15.75" customHeight="1" s="44"/>
    <row r="323" ht="15.75" customHeight="1" s="44"/>
    <row r="324" ht="15.75" customHeight="1" s="44"/>
    <row r="325" ht="15.75" customHeight="1" s="44"/>
    <row r="326" ht="15.75" customHeight="1" s="44"/>
    <row r="327" ht="15.75" customHeight="1" s="44"/>
    <row r="328" ht="15.75" customHeight="1" s="44"/>
    <row r="329" ht="15.75" customHeight="1" s="44"/>
    <row r="330" ht="15.75" customHeight="1" s="44"/>
    <row r="331" ht="15.75" customHeight="1" s="44"/>
    <row r="332" ht="15.75" customHeight="1" s="44"/>
    <row r="333" ht="15.75" customHeight="1" s="44"/>
    <row r="334" ht="15.75" customHeight="1" s="44"/>
    <row r="335" ht="15.75" customHeight="1" s="44"/>
    <row r="336" ht="15.75" customHeight="1" s="44"/>
    <row r="337" ht="15.75" customHeight="1" s="44"/>
    <row r="338" ht="15.75" customHeight="1" s="44"/>
    <row r="339" ht="15.75" customHeight="1" s="44"/>
    <row r="340" ht="15.75" customHeight="1" s="44"/>
    <row r="341" ht="15.75" customHeight="1" s="44"/>
    <row r="342" ht="15.75" customHeight="1" s="44"/>
    <row r="343" ht="15.75" customHeight="1" s="44"/>
    <row r="344" ht="15.75" customHeight="1" s="44"/>
    <row r="345" ht="15.75" customHeight="1" s="44"/>
    <row r="346" ht="15.75" customHeight="1" s="44"/>
    <row r="347" ht="15.75" customHeight="1" s="44"/>
    <row r="348" ht="15.75" customHeight="1" s="44"/>
    <row r="349" ht="15.75" customHeight="1" s="44"/>
    <row r="350" ht="15.75" customHeight="1" s="44"/>
    <row r="351" ht="15.75" customHeight="1" s="44"/>
    <row r="352" ht="15.75" customHeight="1" s="44"/>
    <row r="353" ht="15.75" customHeight="1" s="44"/>
    <row r="354" ht="15.75" customHeight="1" s="44"/>
    <row r="355" ht="15.75" customHeight="1" s="44"/>
    <row r="356" ht="15.75" customHeight="1" s="44"/>
    <row r="357" ht="15.75" customHeight="1" s="44"/>
    <row r="358" ht="15.75" customHeight="1" s="44"/>
    <row r="359" ht="15.75" customHeight="1" s="44"/>
    <row r="360" ht="15.75" customHeight="1" s="44"/>
    <row r="361" ht="15.75" customHeight="1" s="44"/>
    <row r="362" ht="15.75" customHeight="1" s="44"/>
    <row r="363" ht="15.75" customHeight="1" s="44"/>
    <row r="364" ht="15.75" customHeight="1" s="44"/>
    <row r="365" ht="15.75" customHeight="1" s="44"/>
    <row r="366" ht="15.75" customHeight="1" s="44"/>
    <row r="367" ht="15.75" customHeight="1" s="44"/>
    <row r="368" ht="15.75" customHeight="1" s="44"/>
    <row r="369" ht="15.75" customHeight="1" s="44"/>
    <row r="370" ht="15.75" customHeight="1" s="44"/>
    <row r="371" ht="15.75" customHeight="1" s="44"/>
    <row r="372" ht="15.75" customHeight="1" s="44"/>
    <row r="373" ht="15.75" customHeight="1" s="44"/>
    <row r="374" ht="15.75" customHeight="1" s="44"/>
    <row r="375" ht="15.75" customHeight="1" s="44"/>
    <row r="376" ht="15.75" customHeight="1" s="44"/>
    <row r="377" ht="15.75" customHeight="1" s="44"/>
    <row r="378" ht="15.75" customHeight="1" s="44"/>
    <row r="379" ht="15.75" customHeight="1" s="44"/>
    <row r="380" ht="15.75" customHeight="1" s="44"/>
    <row r="381" ht="15.75" customHeight="1" s="44"/>
    <row r="382" ht="15.75" customHeight="1" s="44"/>
    <row r="383" ht="15.75" customHeight="1" s="44"/>
    <row r="384" ht="15.75" customHeight="1" s="44"/>
    <row r="385" ht="15.75" customHeight="1" s="44"/>
    <row r="386" ht="15.75" customHeight="1" s="44"/>
    <row r="387" ht="15.75" customHeight="1" s="44"/>
    <row r="388" ht="15.75" customHeight="1" s="44"/>
    <row r="389" ht="15.75" customHeight="1" s="44"/>
    <row r="390" ht="15.75" customHeight="1" s="44"/>
    <row r="391" ht="15.75" customHeight="1" s="44"/>
    <row r="392" ht="15.75" customHeight="1" s="44"/>
    <row r="393" ht="15.75" customHeight="1" s="44"/>
    <row r="394" ht="15.75" customHeight="1" s="44"/>
    <row r="395" ht="15.75" customHeight="1" s="44"/>
    <row r="396" ht="15.75" customHeight="1" s="44"/>
    <row r="397" ht="15.75" customHeight="1" s="44"/>
    <row r="398" ht="15.75" customHeight="1" s="44"/>
    <row r="399" ht="15.75" customHeight="1" s="44"/>
    <row r="400" ht="15.75" customHeight="1" s="44"/>
    <row r="401" ht="15.75" customHeight="1" s="44"/>
    <row r="402" ht="15.75" customHeight="1" s="44"/>
    <row r="403" ht="15.75" customHeight="1" s="44"/>
    <row r="404" ht="15.75" customHeight="1" s="44"/>
    <row r="405" ht="15.75" customHeight="1" s="44"/>
    <row r="406" ht="15.75" customHeight="1" s="44"/>
    <row r="407" ht="15.75" customHeight="1" s="44"/>
    <row r="408" ht="15.75" customHeight="1" s="44"/>
    <row r="409" ht="15.75" customHeight="1" s="44"/>
    <row r="410" ht="15.75" customHeight="1" s="44"/>
    <row r="411" ht="15.75" customHeight="1" s="44"/>
    <row r="412" ht="15.75" customHeight="1" s="44"/>
    <row r="413" ht="15.75" customHeight="1" s="44"/>
    <row r="414" ht="15.75" customHeight="1" s="44"/>
    <row r="415" ht="15.75" customHeight="1" s="44"/>
    <row r="416" ht="15.75" customHeight="1" s="44"/>
    <row r="417" ht="15.75" customHeight="1" s="44"/>
    <row r="418" ht="15.75" customHeight="1" s="44"/>
    <row r="419" ht="15.75" customHeight="1" s="44"/>
    <row r="420" ht="15.75" customHeight="1" s="44"/>
    <row r="421" ht="15.75" customHeight="1" s="44"/>
    <row r="422" ht="15.75" customHeight="1" s="44"/>
    <row r="423" ht="15.75" customHeight="1" s="44"/>
    <row r="424" ht="15.75" customHeight="1" s="44"/>
    <row r="425" ht="15.75" customHeight="1" s="44"/>
    <row r="426" ht="15.75" customHeight="1" s="44"/>
    <row r="427" ht="15.75" customHeight="1" s="44"/>
    <row r="428" ht="15.75" customHeight="1" s="44"/>
    <row r="429" ht="15.75" customHeight="1" s="44"/>
    <row r="430" ht="15.75" customHeight="1" s="44"/>
    <row r="431" ht="15.75" customHeight="1" s="44"/>
    <row r="432" ht="15.75" customHeight="1" s="44"/>
    <row r="433" ht="15.75" customHeight="1" s="44"/>
    <row r="434" ht="15.75" customHeight="1" s="44"/>
    <row r="435" ht="15.75" customHeight="1" s="44"/>
    <row r="436" ht="15.75" customHeight="1" s="44"/>
    <row r="437" ht="15.75" customHeight="1" s="44"/>
    <row r="438" ht="15.75" customHeight="1" s="44"/>
    <row r="439" ht="15.75" customHeight="1" s="44"/>
    <row r="440" ht="15.75" customHeight="1" s="44"/>
    <row r="441" ht="15.75" customHeight="1" s="44"/>
    <row r="442" ht="15.75" customHeight="1" s="44"/>
    <row r="443" ht="15.75" customHeight="1" s="44"/>
    <row r="444" ht="15.75" customHeight="1" s="44"/>
    <row r="445" ht="15.75" customHeight="1" s="44"/>
    <row r="446" ht="15.75" customHeight="1" s="44"/>
    <row r="447" ht="15.75" customHeight="1" s="44"/>
    <row r="448" ht="15.75" customHeight="1" s="44"/>
    <row r="449" ht="15.75" customHeight="1" s="44"/>
    <row r="450" ht="15.75" customHeight="1" s="44"/>
    <row r="451" ht="15.75" customHeight="1" s="44"/>
    <row r="452" ht="15.75" customHeight="1" s="44"/>
    <row r="453" ht="15.75" customHeight="1" s="44"/>
    <row r="454" ht="15.75" customHeight="1" s="44"/>
    <row r="455" ht="15.75" customHeight="1" s="44"/>
    <row r="456" ht="15.75" customHeight="1" s="44"/>
    <row r="457" ht="15.75" customHeight="1" s="44"/>
    <row r="458" ht="15.75" customHeight="1" s="44"/>
    <row r="459" ht="15.75" customHeight="1" s="44"/>
    <row r="460" ht="15.75" customHeight="1" s="44"/>
    <row r="461" ht="15.75" customHeight="1" s="44"/>
    <row r="462" ht="15.75" customHeight="1" s="44"/>
    <row r="463" ht="15.75" customHeight="1" s="44"/>
    <row r="464" ht="15.75" customHeight="1" s="44"/>
    <row r="465" ht="15.75" customHeight="1" s="44"/>
    <row r="466" ht="15.75" customHeight="1" s="44"/>
    <row r="467" ht="15.75" customHeight="1" s="44"/>
    <row r="468" ht="15.75" customHeight="1" s="44"/>
    <row r="469" ht="15.75" customHeight="1" s="44"/>
    <row r="470" ht="15.75" customHeight="1" s="44"/>
    <row r="471" ht="15.75" customHeight="1" s="44"/>
    <row r="472" ht="15.75" customHeight="1" s="44"/>
    <row r="473" ht="15.75" customHeight="1" s="44"/>
    <row r="474" ht="15.75" customHeight="1" s="44"/>
    <row r="475" ht="15.75" customHeight="1" s="44"/>
    <row r="476" ht="15.75" customHeight="1" s="44"/>
    <row r="477" ht="15.75" customHeight="1" s="44"/>
    <row r="478" ht="15.75" customHeight="1" s="44"/>
    <row r="479" ht="15.75" customHeight="1" s="44"/>
    <row r="480" ht="15.75" customHeight="1" s="44"/>
    <row r="481" ht="15.75" customHeight="1" s="44"/>
    <row r="482" ht="15.75" customHeight="1" s="44"/>
    <row r="483" ht="15.75" customHeight="1" s="44"/>
    <row r="484" ht="15.75" customHeight="1" s="44"/>
    <row r="485" ht="15.75" customHeight="1" s="44"/>
    <row r="486" ht="15.75" customHeight="1" s="44"/>
    <row r="487" ht="15.75" customHeight="1" s="44"/>
    <row r="488" ht="15.75" customHeight="1" s="44"/>
    <row r="489" ht="15.75" customHeight="1" s="44"/>
    <row r="490" ht="15.75" customHeight="1" s="44"/>
    <row r="491" ht="15.75" customHeight="1" s="44"/>
    <row r="492" ht="15.75" customHeight="1" s="44"/>
    <row r="493" ht="15.75" customHeight="1" s="44"/>
    <row r="494" ht="15.75" customHeight="1" s="44"/>
    <row r="495" ht="15.75" customHeight="1" s="44"/>
    <row r="496" ht="15.75" customHeight="1" s="44"/>
    <row r="497" ht="15.75" customHeight="1" s="44"/>
    <row r="498" ht="15.75" customHeight="1" s="44"/>
    <row r="499" ht="15.75" customHeight="1" s="44"/>
    <row r="500" ht="15.75" customHeight="1" s="44"/>
    <row r="501" ht="15.75" customHeight="1" s="44"/>
    <row r="502" ht="15.75" customHeight="1" s="44"/>
    <row r="503" ht="15.75" customHeight="1" s="44"/>
    <row r="504" ht="15.75" customHeight="1" s="44"/>
    <row r="505" ht="15.75" customHeight="1" s="44"/>
    <row r="506" ht="15.75" customHeight="1" s="44"/>
    <row r="507" ht="15.75" customHeight="1" s="44"/>
    <row r="508" ht="15.75" customHeight="1" s="44"/>
    <row r="509" ht="15.75" customHeight="1" s="44"/>
    <row r="510" ht="15.75" customHeight="1" s="44"/>
    <row r="511" ht="15.75" customHeight="1" s="44"/>
    <row r="512" ht="15.75" customHeight="1" s="44"/>
    <row r="513" ht="15.75" customHeight="1" s="44"/>
    <row r="514" ht="15.75" customHeight="1" s="44"/>
    <row r="515" ht="15.75" customHeight="1" s="44"/>
    <row r="516" ht="15.75" customHeight="1" s="44"/>
    <row r="517" ht="15.75" customHeight="1" s="44"/>
    <row r="518" ht="15.75" customHeight="1" s="44"/>
    <row r="519" ht="15.75" customHeight="1" s="44"/>
    <row r="520" ht="15.75" customHeight="1" s="44"/>
    <row r="521" ht="15.75" customHeight="1" s="44"/>
    <row r="522" ht="15.75" customHeight="1" s="44"/>
    <row r="523" ht="15.75" customHeight="1" s="44"/>
    <row r="524" ht="15.75" customHeight="1" s="44"/>
    <row r="525" ht="15.75" customHeight="1" s="44"/>
    <row r="526" ht="15.75" customHeight="1" s="44"/>
    <row r="527" ht="15.75" customHeight="1" s="44"/>
    <row r="528" ht="15.75" customHeight="1" s="44"/>
    <row r="529" ht="15.75" customHeight="1" s="44"/>
    <row r="530" ht="15.75" customHeight="1" s="44"/>
    <row r="531" ht="15.75" customHeight="1" s="44"/>
    <row r="532" ht="15.75" customHeight="1" s="44"/>
    <row r="533" ht="15.75" customHeight="1" s="44"/>
    <row r="534" ht="15.75" customHeight="1" s="44"/>
    <row r="535" ht="15.75" customHeight="1" s="44"/>
    <row r="536" ht="15.75" customHeight="1" s="44"/>
    <row r="537" ht="15.75" customHeight="1" s="44"/>
    <row r="538" ht="15.75" customHeight="1" s="44"/>
    <row r="539" ht="15.75" customHeight="1" s="44"/>
    <row r="540" ht="15.75" customHeight="1" s="44"/>
    <row r="541" ht="15.75" customHeight="1" s="44"/>
    <row r="542" ht="15.75" customHeight="1" s="44"/>
    <row r="543" ht="15.75" customHeight="1" s="44"/>
    <row r="544" ht="15.75" customHeight="1" s="44"/>
    <row r="545" ht="15.75" customHeight="1" s="44"/>
    <row r="546" ht="15.75" customHeight="1" s="44"/>
    <row r="547" ht="15.75" customHeight="1" s="44"/>
    <row r="548" ht="15.75" customHeight="1" s="44"/>
    <row r="549" ht="15.75" customHeight="1" s="44"/>
    <row r="550" ht="15.75" customHeight="1" s="44"/>
    <row r="551" ht="15.75" customHeight="1" s="44"/>
    <row r="552" ht="15.75" customHeight="1" s="44"/>
    <row r="553" ht="15.75" customHeight="1" s="44"/>
    <row r="554" ht="15.75" customHeight="1" s="44"/>
    <row r="555" ht="15.75" customHeight="1" s="44"/>
    <row r="556" ht="15.75" customHeight="1" s="44"/>
    <row r="557" ht="15.75" customHeight="1" s="44"/>
    <row r="558" ht="15.75" customHeight="1" s="44"/>
    <row r="559" ht="15.75" customHeight="1" s="44"/>
    <row r="560" ht="15.75" customHeight="1" s="44"/>
    <row r="561" ht="15.75" customHeight="1" s="44"/>
    <row r="562" ht="15.75" customHeight="1" s="44"/>
    <row r="563" ht="15.75" customHeight="1" s="44"/>
    <row r="564" ht="15.75" customHeight="1" s="44"/>
    <row r="565" ht="15.75" customHeight="1" s="44"/>
    <row r="566" ht="15.75" customHeight="1" s="44"/>
    <row r="567" ht="15.75" customHeight="1" s="44"/>
    <row r="568" ht="15.75" customHeight="1" s="44"/>
    <row r="569" ht="15.75" customHeight="1" s="44"/>
    <row r="570" ht="15.75" customHeight="1" s="44"/>
    <row r="571" ht="15.75" customHeight="1" s="44"/>
    <row r="572" ht="15.75" customHeight="1" s="44"/>
    <row r="573" ht="15.75" customHeight="1" s="44"/>
    <row r="574" ht="15.75" customHeight="1" s="44"/>
    <row r="575" ht="15.75" customHeight="1" s="44"/>
    <row r="576" ht="15.75" customHeight="1" s="44"/>
    <row r="577" ht="15.75" customHeight="1" s="44"/>
    <row r="578" ht="15.75" customHeight="1" s="44"/>
    <row r="579" ht="15.75" customHeight="1" s="44"/>
    <row r="580" ht="15.75" customHeight="1" s="44"/>
    <row r="581" ht="15.75" customHeight="1" s="44"/>
    <row r="582" ht="15.75" customHeight="1" s="44"/>
    <row r="583" ht="15.75" customHeight="1" s="44"/>
    <row r="584" ht="15.75" customHeight="1" s="44"/>
    <row r="585" ht="15.75" customHeight="1" s="44"/>
    <row r="586" ht="15.75" customHeight="1" s="44"/>
    <row r="587" ht="15.75" customHeight="1" s="44"/>
    <row r="588" ht="15.75" customHeight="1" s="44"/>
    <row r="589" ht="15.75" customHeight="1" s="44"/>
    <row r="590" ht="15.75" customHeight="1" s="44"/>
    <row r="591" ht="15.75" customHeight="1" s="44"/>
    <row r="592" ht="15.75" customHeight="1" s="44"/>
    <row r="593" ht="15.75" customHeight="1" s="44"/>
    <row r="594" ht="15.75" customHeight="1" s="44"/>
    <row r="595" ht="15.75" customHeight="1" s="44"/>
    <row r="596" ht="15.75" customHeight="1" s="44"/>
    <row r="597" ht="15.75" customHeight="1" s="44"/>
    <row r="598" ht="15.75" customHeight="1" s="44"/>
    <row r="599" ht="15.75" customHeight="1" s="44"/>
    <row r="600" ht="15.75" customHeight="1" s="44"/>
    <row r="601" ht="15.75" customHeight="1" s="44"/>
    <row r="602" ht="15.75" customHeight="1" s="44"/>
    <row r="603" ht="15.75" customHeight="1" s="44"/>
    <row r="604" ht="15.75" customHeight="1" s="44"/>
    <row r="605" ht="15.75" customHeight="1" s="44"/>
    <row r="606" ht="15.75" customHeight="1" s="44"/>
    <row r="607" ht="15.75" customHeight="1" s="44"/>
    <row r="608" ht="15.75" customHeight="1" s="44"/>
    <row r="609" ht="15.75" customHeight="1" s="44"/>
    <row r="610" ht="15.75" customHeight="1" s="44"/>
    <row r="611" ht="15.75" customHeight="1" s="44"/>
    <row r="612" ht="15.75" customHeight="1" s="44"/>
    <row r="613" ht="15.75" customHeight="1" s="44"/>
    <row r="614" ht="15.75" customHeight="1" s="44"/>
    <row r="615" ht="15.75" customHeight="1" s="44"/>
    <row r="616" ht="15.75" customHeight="1" s="44"/>
    <row r="617" ht="15.75" customHeight="1" s="44"/>
    <row r="618" ht="15.75" customHeight="1" s="44"/>
    <row r="619" ht="15.75" customHeight="1" s="44"/>
    <row r="620" ht="15.75" customHeight="1" s="44"/>
    <row r="621" ht="15.75" customHeight="1" s="44"/>
    <row r="622" ht="15.75" customHeight="1" s="44"/>
    <row r="623" ht="15.75" customHeight="1" s="44"/>
    <row r="624" ht="15.75" customHeight="1" s="44"/>
    <row r="625" ht="15.75" customHeight="1" s="44"/>
    <row r="626" ht="15.75" customHeight="1" s="44"/>
    <row r="627" ht="15.75" customHeight="1" s="44"/>
    <row r="628" ht="15.75" customHeight="1" s="44"/>
    <row r="629" ht="15.75" customHeight="1" s="44"/>
    <row r="630" ht="15.75" customHeight="1" s="44"/>
    <row r="631" ht="15.75" customHeight="1" s="44"/>
    <row r="632" ht="15.75" customHeight="1" s="44"/>
    <row r="633" ht="15.75" customHeight="1" s="44"/>
    <row r="634" ht="15.75" customHeight="1" s="44"/>
    <row r="635" ht="15.75" customHeight="1" s="44"/>
    <row r="636" ht="15.75" customHeight="1" s="44"/>
    <row r="637" ht="15.75" customHeight="1" s="44"/>
    <row r="638" ht="15.75" customHeight="1" s="44"/>
    <row r="639" ht="15.75" customHeight="1" s="44"/>
    <row r="640" ht="15.75" customHeight="1" s="44"/>
    <row r="641" ht="15.75" customHeight="1" s="44"/>
    <row r="642" ht="15.75" customHeight="1" s="44"/>
    <row r="643" ht="15.75" customHeight="1" s="44"/>
    <row r="644" ht="15.75" customHeight="1" s="44"/>
    <row r="645" ht="15.75" customHeight="1" s="44"/>
    <row r="646" ht="15.75" customHeight="1" s="44"/>
    <row r="647" ht="15.75" customHeight="1" s="44"/>
    <row r="648" ht="15.75" customHeight="1" s="44"/>
    <row r="649" ht="15.75" customHeight="1" s="44"/>
    <row r="650" ht="15.75" customHeight="1" s="44"/>
    <row r="651" ht="15.75" customHeight="1" s="44"/>
    <row r="652" ht="15.75" customHeight="1" s="44"/>
    <row r="653" ht="15.75" customHeight="1" s="44"/>
    <row r="654" ht="15.75" customHeight="1" s="44"/>
    <row r="655" ht="15.75" customHeight="1" s="44"/>
    <row r="656" ht="15.75" customHeight="1" s="44"/>
    <row r="657" ht="15.75" customHeight="1" s="44"/>
    <row r="658" ht="15.75" customHeight="1" s="44"/>
    <row r="659" ht="15.75" customHeight="1" s="44"/>
    <row r="660" ht="15.75" customHeight="1" s="44"/>
    <row r="661" ht="15.75" customHeight="1" s="44"/>
    <row r="662" ht="15.75" customHeight="1" s="44"/>
    <row r="663" ht="15.75" customHeight="1" s="44"/>
    <row r="664" ht="15.75" customHeight="1" s="44"/>
    <row r="665" ht="15.75" customHeight="1" s="44"/>
    <row r="666" ht="15.75" customHeight="1" s="44"/>
    <row r="667" ht="15.75" customHeight="1" s="44"/>
    <row r="668" ht="15.75" customHeight="1" s="44"/>
    <row r="669" ht="15.75" customHeight="1" s="44"/>
    <row r="670" ht="15.75" customHeight="1" s="44"/>
    <row r="671" ht="15.75" customHeight="1" s="44"/>
    <row r="672" ht="15.75" customHeight="1" s="44"/>
    <row r="673" ht="15.75" customHeight="1" s="44"/>
    <row r="674" ht="15.75" customHeight="1" s="44"/>
    <row r="675" ht="15.75" customHeight="1" s="44"/>
    <row r="676" ht="15.75" customHeight="1" s="44"/>
    <row r="677" ht="15.75" customHeight="1" s="44"/>
    <row r="678" ht="15.75" customHeight="1" s="44"/>
    <row r="679" ht="15.75" customHeight="1" s="44"/>
    <row r="680" ht="15.75" customHeight="1" s="44"/>
    <row r="681" ht="15.75" customHeight="1" s="44"/>
    <row r="682" ht="15.75" customHeight="1" s="44"/>
    <row r="683" ht="15.75" customHeight="1" s="44"/>
    <row r="684" ht="15.75" customHeight="1" s="44"/>
    <row r="685" ht="15.75" customHeight="1" s="44"/>
    <row r="686" ht="15.75" customHeight="1" s="44"/>
    <row r="687" ht="15.75" customHeight="1" s="44"/>
    <row r="688" ht="15.75" customHeight="1" s="44"/>
    <row r="689" ht="15.75" customHeight="1" s="44"/>
    <row r="690" ht="15.75" customHeight="1" s="44"/>
    <row r="691" ht="15.75" customHeight="1" s="44"/>
    <row r="692" ht="15.75" customHeight="1" s="44"/>
    <row r="693" ht="15.75" customHeight="1" s="44"/>
    <row r="694" ht="15.75" customHeight="1" s="44"/>
    <row r="695" ht="15.75" customHeight="1" s="44"/>
    <row r="696" ht="15.75" customHeight="1" s="44"/>
    <row r="697" ht="15.75" customHeight="1" s="44"/>
    <row r="698" ht="15.75" customHeight="1" s="44"/>
    <row r="699" ht="15.75" customHeight="1" s="44"/>
    <row r="700" ht="15.75" customHeight="1" s="44"/>
    <row r="701" ht="15.75" customHeight="1" s="44"/>
    <row r="702" ht="15.75" customHeight="1" s="44"/>
    <row r="703" ht="15.75" customHeight="1" s="44"/>
    <row r="704" ht="15.75" customHeight="1" s="44"/>
    <row r="705" ht="15.75" customHeight="1" s="44"/>
    <row r="706" ht="15.75" customHeight="1" s="44"/>
    <row r="707" ht="15.75" customHeight="1" s="44"/>
    <row r="708" ht="15.75" customHeight="1" s="44"/>
    <row r="709" ht="15.75" customHeight="1" s="44"/>
    <row r="710" ht="15.75" customHeight="1" s="44"/>
    <row r="711" ht="15.75" customHeight="1" s="44"/>
    <row r="712" ht="15.75" customHeight="1" s="44"/>
    <row r="713" ht="15.75" customHeight="1" s="44"/>
    <row r="714" ht="15.75" customHeight="1" s="44"/>
    <row r="715" ht="15.75" customHeight="1" s="44"/>
    <row r="716" ht="15.75" customHeight="1" s="44"/>
    <row r="717" ht="15.75" customHeight="1" s="44"/>
    <row r="718" ht="15.75" customHeight="1" s="44"/>
    <row r="719" ht="15.75" customHeight="1" s="44"/>
    <row r="720" ht="15.75" customHeight="1" s="44"/>
    <row r="721" ht="15.75" customHeight="1" s="44"/>
    <row r="722" ht="15.75" customHeight="1" s="44"/>
    <row r="723" ht="15.75" customHeight="1" s="44"/>
    <row r="724" ht="15.75" customHeight="1" s="44"/>
    <row r="725" ht="15.75" customHeight="1" s="44"/>
    <row r="726" ht="15.75" customHeight="1" s="44"/>
    <row r="727" ht="15.75" customHeight="1" s="44"/>
    <row r="728" ht="15.75" customHeight="1" s="44"/>
    <row r="729" ht="15.75" customHeight="1" s="44"/>
    <row r="730" ht="15.75" customHeight="1" s="44"/>
    <row r="731" ht="15.75" customHeight="1" s="44"/>
    <row r="732" ht="15.75" customHeight="1" s="44"/>
    <row r="733" ht="15.75" customHeight="1" s="44"/>
    <row r="734" ht="15.75" customHeight="1" s="44"/>
    <row r="735" ht="15.75" customHeight="1" s="44"/>
    <row r="736" ht="15.75" customHeight="1" s="44"/>
    <row r="737" ht="15.75" customHeight="1" s="44"/>
    <row r="738" ht="15.75" customHeight="1" s="44"/>
    <row r="739" ht="15.75" customHeight="1" s="44"/>
    <row r="740" ht="15.75" customHeight="1" s="44"/>
    <row r="741" ht="15.75" customHeight="1" s="44"/>
    <row r="742" ht="15.75" customHeight="1" s="44"/>
    <row r="743" ht="15.75" customHeight="1" s="44"/>
    <row r="744" ht="15.75" customHeight="1" s="44"/>
    <row r="745" ht="15.75" customHeight="1" s="44"/>
    <row r="746" ht="15.75" customHeight="1" s="44"/>
    <row r="747" ht="15.75" customHeight="1" s="44"/>
    <row r="748" ht="15.75" customHeight="1" s="44"/>
    <row r="749" ht="15.75" customHeight="1" s="44"/>
    <row r="750" ht="15.75" customHeight="1" s="44"/>
    <row r="751" ht="15.75" customHeight="1" s="44"/>
    <row r="752" ht="15.75" customHeight="1" s="44"/>
    <row r="753" ht="15.75" customHeight="1" s="44"/>
    <row r="754" ht="15.75" customHeight="1" s="44"/>
    <row r="755" ht="15.75" customHeight="1" s="44"/>
    <row r="756" ht="15.75" customHeight="1" s="44"/>
    <row r="757" ht="15.75" customHeight="1" s="44"/>
    <row r="758" ht="15.75" customHeight="1" s="44"/>
    <row r="759" ht="15.75" customHeight="1" s="44"/>
    <row r="760" ht="15.75" customHeight="1" s="44"/>
    <row r="761" ht="15.75" customHeight="1" s="44"/>
    <row r="762" ht="15.75" customHeight="1" s="44"/>
    <row r="763" ht="15.75" customHeight="1" s="44"/>
    <row r="764" ht="15.75" customHeight="1" s="44"/>
    <row r="765" ht="15.75" customHeight="1" s="44"/>
    <row r="766" ht="15.75" customHeight="1" s="44"/>
    <row r="767" ht="15.75" customHeight="1" s="44"/>
    <row r="768" ht="15.75" customHeight="1" s="44"/>
    <row r="769" ht="15.75" customHeight="1" s="44"/>
    <row r="770" ht="15.75" customHeight="1" s="44"/>
    <row r="771" ht="15.75" customHeight="1" s="44"/>
    <row r="772" ht="15.75" customHeight="1" s="44"/>
    <row r="773" ht="15.75" customHeight="1" s="44"/>
    <row r="774" ht="15.75" customHeight="1" s="44"/>
    <row r="775" ht="15.75" customHeight="1" s="44"/>
    <row r="776" ht="15.75" customHeight="1" s="44"/>
    <row r="777" ht="15.75" customHeight="1" s="44"/>
    <row r="778" ht="15.75" customHeight="1" s="44"/>
    <row r="779" ht="15.75" customHeight="1" s="44"/>
    <row r="780" ht="15.75" customHeight="1" s="44"/>
    <row r="781" ht="15.75" customHeight="1" s="44"/>
    <row r="782" ht="15.75" customHeight="1" s="44"/>
    <row r="783" ht="15.75" customHeight="1" s="44"/>
    <row r="784" ht="15.75" customHeight="1" s="44"/>
    <row r="785" ht="15.75" customHeight="1" s="44"/>
    <row r="786" ht="15.75" customHeight="1" s="44"/>
    <row r="787" ht="15.75" customHeight="1" s="44"/>
    <row r="788" ht="15.75" customHeight="1" s="44"/>
    <row r="789" ht="15.75" customHeight="1" s="44"/>
    <row r="790" ht="15.75" customHeight="1" s="44"/>
    <row r="791" ht="15.75" customHeight="1" s="44"/>
    <row r="792" ht="15.75" customHeight="1" s="44"/>
    <row r="793" ht="15.75" customHeight="1" s="44"/>
    <row r="794" ht="15.75" customHeight="1" s="44"/>
    <row r="795" ht="15.75" customHeight="1" s="44"/>
    <row r="796" ht="15.75" customHeight="1" s="44"/>
    <row r="797" ht="15.75" customHeight="1" s="44"/>
    <row r="798" ht="15.75" customHeight="1" s="44"/>
    <row r="799" ht="15.75" customHeight="1" s="44"/>
    <row r="800" ht="15.75" customHeight="1" s="44"/>
    <row r="801" ht="15.75" customHeight="1" s="44"/>
    <row r="802" ht="15.75" customHeight="1" s="44"/>
    <row r="803" ht="15.75" customHeight="1" s="44"/>
    <row r="804" ht="15.75" customHeight="1" s="44"/>
    <row r="805" ht="15.75" customHeight="1" s="44"/>
    <row r="806" ht="15.75" customHeight="1" s="44"/>
    <row r="807" ht="15.75" customHeight="1" s="44"/>
    <row r="808" ht="15.75" customHeight="1" s="44"/>
    <row r="809" ht="15.75" customHeight="1" s="44"/>
    <row r="810" ht="15.75" customHeight="1" s="44"/>
    <row r="811" ht="15.75" customHeight="1" s="44"/>
    <row r="812" ht="15.75" customHeight="1" s="44"/>
    <row r="813" ht="15.75" customHeight="1" s="44"/>
    <row r="814" ht="15.75" customHeight="1" s="44"/>
    <row r="815" ht="15.75" customHeight="1" s="44"/>
    <row r="816" ht="15.75" customHeight="1" s="44"/>
    <row r="817" ht="15.75" customHeight="1" s="44"/>
    <row r="818" ht="15.75" customHeight="1" s="44"/>
    <row r="819" ht="15.75" customHeight="1" s="44"/>
    <row r="820" ht="15.75" customHeight="1" s="44"/>
    <row r="821" ht="15.75" customHeight="1" s="44"/>
    <row r="822" ht="15.75" customHeight="1" s="44"/>
    <row r="823" ht="15.75" customHeight="1" s="44"/>
    <row r="824" ht="15.75" customHeight="1" s="44"/>
    <row r="825" ht="15.75" customHeight="1" s="44"/>
    <row r="826" ht="15.75" customHeight="1" s="44"/>
    <row r="827" ht="15.75" customHeight="1" s="44"/>
    <row r="828" ht="15.75" customHeight="1" s="44"/>
    <row r="829" ht="15.75" customHeight="1" s="44"/>
    <row r="830" ht="15.75" customHeight="1" s="44"/>
    <row r="831" ht="15.75" customHeight="1" s="44"/>
    <row r="832" ht="15.75" customHeight="1" s="44"/>
    <row r="833" ht="15.75" customHeight="1" s="44"/>
    <row r="834" ht="15.75" customHeight="1" s="44"/>
    <row r="835" ht="15.75" customHeight="1" s="44"/>
    <row r="836" ht="15.75" customHeight="1" s="44"/>
    <row r="837" ht="15.75" customHeight="1" s="44"/>
    <row r="838" ht="15.75" customHeight="1" s="44"/>
    <row r="839" ht="15.75" customHeight="1" s="44"/>
    <row r="840" ht="15.75" customHeight="1" s="44"/>
    <row r="841" ht="15.75" customHeight="1" s="44"/>
    <row r="842" ht="15.75" customHeight="1" s="44"/>
    <row r="843" ht="15.75" customHeight="1" s="44"/>
    <row r="844" ht="15.75" customHeight="1" s="44"/>
    <row r="845" ht="15.75" customHeight="1" s="44"/>
    <row r="846" ht="15.75" customHeight="1" s="44"/>
    <row r="847" ht="15.75" customHeight="1" s="44"/>
    <row r="848" ht="15.75" customHeight="1" s="44"/>
    <row r="849" ht="15.75" customHeight="1" s="44"/>
    <row r="850" ht="15.75" customHeight="1" s="44"/>
    <row r="851" ht="15.75" customHeight="1" s="44"/>
    <row r="852" ht="15.75" customHeight="1" s="44"/>
    <row r="853" ht="15.75" customHeight="1" s="44"/>
    <row r="854" ht="15.75" customHeight="1" s="44"/>
    <row r="855" ht="15.75" customHeight="1" s="44"/>
    <row r="856" ht="15.75" customHeight="1" s="44"/>
    <row r="857" ht="15.75" customHeight="1" s="44"/>
    <row r="858" ht="15.75" customHeight="1" s="44"/>
    <row r="859" ht="15.75" customHeight="1" s="44"/>
    <row r="860" ht="15.75" customHeight="1" s="44"/>
    <row r="861" ht="15.75" customHeight="1" s="44"/>
    <row r="862" ht="15.75" customHeight="1" s="44"/>
    <row r="863" ht="15.75" customHeight="1" s="44"/>
    <row r="864" ht="15.75" customHeight="1" s="44"/>
    <row r="865" ht="15.75" customHeight="1" s="44"/>
    <row r="866" ht="15.75" customHeight="1" s="44"/>
    <row r="867" ht="15.75" customHeight="1" s="44"/>
    <row r="868" ht="15.75" customHeight="1" s="44"/>
    <row r="869" ht="15.75" customHeight="1" s="44"/>
    <row r="870" ht="15.75" customHeight="1" s="44"/>
    <row r="871" ht="15.75" customHeight="1" s="44"/>
    <row r="872" ht="15.75" customHeight="1" s="44"/>
    <row r="873" ht="15.75" customHeight="1" s="44"/>
    <row r="874" ht="15.75" customHeight="1" s="44"/>
    <row r="875" ht="15.75" customHeight="1" s="44"/>
    <row r="876" ht="15.75" customHeight="1" s="44"/>
    <row r="877" ht="15.75" customHeight="1" s="44"/>
    <row r="878" ht="15.75" customHeight="1" s="44"/>
    <row r="879" ht="15.75" customHeight="1" s="44"/>
    <row r="880" ht="15.75" customHeight="1" s="44"/>
    <row r="881" ht="15.75" customHeight="1" s="44"/>
    <row r="882" ht="15.75" customHeight="1" s="44"/>
    <row r="883" ht="15.75" customHeight="1" s="44"/>
    <row r="884" ht="15.75" customHeight="1" s="44"/>
    <row r="885" ht="15.75" customHeight="1" s="44"/>
    <row r="886" ht="15.75" customHeight="1" s="44"/>
    <row r="887" ht="15.75" customHeight="1" s="44"/>
    <row r="888" ht="15.75" customHeight="1" s="44"/>
    <row r="889" ht="15.75" customHeight="1" s="44"/>
    <row r="890" ht="15.75" customHeight="1" s="44"/>
    <row r="891" ht="15.75" customHeight="1" s="44"/>
    <row r="892" ht="15.75" customHeight="1" s="44"/>
    <row r="893" ht="15.75" customHeight="1" s="44"/>
    <row r="894" ht="15.75" customHeight="1" s="44"/>
    <row r="895" ht="15.75" customHeight="1" s="44"/>
    <row r="896" ht="15.75" customHeight="1" s="44"/>
    <row r="897" ht="15.75" customHeight="1" s="44"/>
    <row r="898" ht="15.75" customHeight="1" s="44"/>
    <row r="899" ht="15.75" customHeight="1" s="44"/>
    <row r="900" ht="15.75" customHeight="1" s="44"/>
    <row r="901" ht="15.75" customHeight="1" s="44"/>
    <row r="902" ht="15.75" customHeight="1" s="44"/>
    <row r="903" ht="15.75" customHeight="1" s="44"/>
    <row r="904" ht="15.75" customHeight="1" s="44"/>
    <row r="905" ht="15.75" customHeight="1" s="44"/>
    <row r="906" ht="15.75" customHeight="1" s="44"/>
    <row r="907" ht="15.75" customHeight="1" s="44"/>
    <row r="908" ht="15.75" customHeight="1" s="44"/>
    <row r="909" ht="15.75" customHeight="1" s="44"/>
    <row r="910" ht="15.75" customHeight="1" s="44"/>
    <row r="911" ht="15.75" customHeight="1" s="44"/>
    <row r="912" ht="15.75" customHeight="1" s="44"/>
    <row r="913" ht="15.75" customHeight="1" s="44"/>
    <row r="914" ht="15.75" customHeight="1" s="44"/>
    <row r="915" ht="15.75" customHeight="1" s="44"/>
    <row r="916" ht="15.75" customHeight="1" s="44"/>
    <row r="917" ht="15.75" customHeight="1" s="44"/>
    <row r="918" ht="15.75" customHeight="1" s="44"/>
    <row r="919" ht="15.75" customHeight="1" s="44"/>
    <row r="920" ht="15.75" customHeight="1" s="44"/>
    <row r="921" ht="15.75" customHeight="1" s="44"/>
    <row r="922" ht="15.75" customHeight="1" s="44"/>
    <row r="923" ht="15.75" customHeight="1" s="44"/>
    <row r="924" ht="15.75" customHeight="1" s="44"/>
    <row r="925" ht="15.75" customHeight="1" s="44"/>
    <row r="926" ht="15.75" customHeight="1" s="44"/>
    <row r="927" ht="15.75" customHeight="1" s="44"/>
    <row r="928" ht="15.75" customHeight="1" s="44"/>
    <row r="929" ht="15.75" customHeight="1" s="44"/>
    <row r="930" ht="15.75" customHeight="1" s="44"/>
    <row r="931" ht="15.75" customHeight="1" s="44"/>
    <row r="932" ht="15.75" customHeight="1" s="44"/>
    <row r="933" ht="15.75" customHeight="1" s="44"/>
    <row r="934" ht="15.75" customHeight="1" s="44"/>
    <row r="935" ht="15.75" customHeight="1" s="44"/>
    <row r="936" ht="15.75" customHeight="1" s="44"/>
    <row r="937" ht="15.75" customHeight="1" s="44"/>
    <row r="938" ht="15.75" customHeight="1" s="44"/>
    <row r="939" ht="15.75" customHeight="1" s="44"/>
    <row r="940" ht="15.75" customHeight="1" s="44"/>
    <row r="941" ht="15.75" customHeight="1" s="44"/>
    <row r="942" ht="15.75" customHeight="1" s="44"/>
    <row r="943" ht="15.75" customHeight="1" s="44"/>
    <row r="944" ht="15.75" customHeight="1" s="44"/>
    <row r="945" ht="15.75" customHeight="1" s="44"/>
    <row r="946" ht="15.75" customHeight="1" s="44"/>
    <row r="947" ht="15.75" customHeight="1" s="44"/>
    <row r="948" ht="15.75" customHeight="1" s="44"/>
    <row r="949" ht="15.75" customHeight="1" s="44"/>
    <row r="950" ht="15.75" customHeight="1" s="44"/>
    <row r="951" ht="15.75" customHeight="1" s="44"/>
    <row r="952" ht="15.75" customHeight="1" s="44"/>
    <row r="953" ht="15.75" customHeight="1" s="44"/>
    <row r="954" ht="15.75" customHeight="1" s="44"/>
    <row r="955" ht="15.75" customHeight="1" s="44"/>
    <row r="956" ht="15.75" customHeight="1" s="44"/>
    <row r="957" ht="15.75" customHeight="1" s="44"/>
    <row r="958" ht="15.75" customHeight="1" s="44"/>
    <row r="959" ht="15.75" customHeight="1" s="44"/>
    <row r="960" ht="15.75" customHeight="1" s="44"/>
    <row r="961" ht="15.75" customHeight="1" s="44"/>
    <row r="962" ht="15.75" customHeight="1" s="44"/>
    <row r="963" ht="15.75" customHeight="1" s="44"/>
    <row r="964" ht="15.75" customHeight="1" s="44"/>
    <row r="965" ht="15.75" customHeight="1" s="44"/>
    <row r="966" ht="15.75" customHeight="1" s="44"/>
    <row r="967" ht="15.75" customHeight="1" s="44"/>
    <row r="968" ht="15.75" customHeight="1" s="44"/>
    <row r="969" ht="15.75" customHeight="1" s="44"/>
    <row r="970" ht="15.75" customHeight="1" s="44"/>
    <row r="971" ht="15.75" customHeight="1" s="44"/>
    <row r="972" ht="15.75" customHeight="1" s="44"/>
    <row r="973" ht="15.75" customHeight="1" s="44"/>
    <row r="974" ht="15.75" customHeight="1" s="44"/>
    <row r="975" ht="15.75" customHeight="1" s="44"/>
    <row r="976" ht="15.75" customHeight="1" s="44"/>
    <row r="977" ht="15.75" customHeight="1" s="44"/>
    <row r="978" ht="15.75" customHeight="1" s="44"/>
    <row r="979" ht="15.75" customHeight="1" s="44"/>
    <row r="980" ht="15.75" customHeight="1" s="44"/>
    <row r="981" ht="15.75" customHeight="1" s="44"/>
    <row r="982" ht="15.75" customHeight="1" s="44"/>
    <row r="983" ht="15.75" customHeight="1" s="44"/>
    <row r="984" ht="15.75" customHeight="1" s="44"/>
    <row r="985" ht="15.75" customHeight="1" s="44"/>
    <row r="986" ht="15.75" customHeight="1" s="44"/>
    <row r="987" ht="15.75" customHeight="1" s="44"/>
    <row r="988" ht="15.75" customHeight="1" s="44"/>
    <row r="989" ht="15.75" customHeight="1" s="44"/>
    <row r="990" ht="15.75" customHeight="1" s="44"/>
    <row r="991" ht="15.75" customHeight="1" s="44"/>
    <row r="992" ht="15.75" customHeight="1" s="44"/>
    <row r="993" ht="15.75" customHeight="1" s="44"/>
    <row r="994" ht="15.75" customHeight="1" s="44"/>
    <row r="995" ht="15.75" customHeight="1" s="44"/>
    <row r="996" ht="15.75" customHeight="1" s="44"/>
    <row r="997" ht="15.75" customHeight="1" s="44"/>
    <row r="998" ht="15.75" customHeight="1" s="44"/>
    <row r="999" ht="15.75" customHeight="1" s="44"/>
    <row r="1000" ht="15.75" customHeight="1" s="44"/>
  </sheetData>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2026-09-26T05:08:51+00:00Z</dcterms:created>
  <dcterms:modified xmlns:dcterms="http://purl.org/dc/terms/" xmlns:xsi="http://www.w3.org/2001/XMLSchema-instance" xsi:type="dcterms:W3CDTF">2026-09-26T05:08:51+00:00Z</dcterms:modified>
</cp:coreProperties>
</file>